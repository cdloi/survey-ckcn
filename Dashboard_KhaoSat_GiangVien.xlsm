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cdloi\Desktop\khaosatCTDT\"/>
    </mc:Choice>
  </mc:AlternateContent>
  <xr:revisionPtr revIDLastSave="0" documentId="8_{501B68F2-A3AB-47B0-9CED-FF0F32AFCEB9}" xr6:coauthVersionLast="47" xr6:coauthVersionMax="47" xr10:uidLastSave="{00000000-0000-0000-0000-000000000000}"/>
  <bookViews>
    <workbookView xWindow="-110" yWindow="-110" windowWidth="25820" windowHeight="15500" xr2:uid="{00000000-000D-0000-FFFF-FFFF00000000}"/>
  </bookViews>
  <sheets>
    <sheet name="Data_Source" sheetId="1" r:id="rId1"/>
    <sheet name="Bộ lọc Giảng viên" sheetId="2" r:id="rId2"/>
    <sheet name="Dashboard Giảng viên" sheetId="3" r:id="rId3"/>
    <sheet name="Thống kê PLO" sheetId="4" r:id="rId4"/>
    <sheet name="Góp ý Giảng viên"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8" i="4" l="1"/>
  <c r="I18" i="4"/>
  <c r="H18" i="4"/>
  <c r="G18" i="4"/>
  <c r="F18" i="4"/>
  <c r="E18" i="4"/>
  <c r="D18" i="4"/>
  <c r="C18" i="4"/>
  <c r="J17" i="4"/>
  <c r="I17" i="4"/>
  <c r="H17" i="4"/>
  <c r="G17" i="4"/>
  <c r="F17" i="4"/>
  <c r="E17" i="4"/>
  <c r="D17" i="4"/>
  <c r="C17" i="4"/>
  <c r="J16" i="4"/>
  <c r="I16" i="4"/>
  <c r="H16" i="4"/>
  <c r="G16" i="4"/>
  <c r="F16" i="4"/>
  <c r="E16" i="4"/>
  <c r="D16" i="4"/>
  <c r="C16" i="4"/>
  <c r="J15" i="4"/>
  <c r="I15" i="4"/>
  <c r="H15" i="4"/>
  <c r="G15" i="4"/>
  <c r="F15" i="4"/>
  <c r="E15" i="4"/>
  <c r="D15" i="4"/>
  <c r="C15" i="4"/>
  <c r="J14" i="4"/>
  <c r="I14" i="4"/>
  <c r="H14" i="4"/>
  <c r="G14" i="4"/>
  <c r="F14" i="4"/>
  <c r="E14" i="4"/>
  <c r="D14" i="4"/>
  <c r="C14" i="4"/>
  <c r="J13" i="4"/>
  <c r="I13" i="4"/>
  <c r="H13" i="4"/>
  <c r="G13" i="4"/>
  <c r="F13" i="4"/>
  <c r="E13" i="4"/>
  <c r="D13" i="4"/>
  <c r="C13" i="4"/>
  <c r="J12" i="4"/>
  <c r="I12" i="4"/>
  <c r="H12" i="4"/>
  <c r="G12" i="4"/>
  <c r="F12" i="4"/>
  <c r="E12" i="4"/>
  <c r="D12" i="4"/>
  <c r="C12" i="4"/>
  <c r="J11" i="4"/>
  <c r="I11" i="4"/>
  <c r="H11" i="4"/>
  <c r="G11" i="4"/>
  <c r="F11" i="4"/>
  <c r="E11" i="4"/>
  <c r="D11" i="4"/>
  <c r="C11" i="4"/>
  <c r="J10" i="4"/>
  <c r="I10" i="4"/>
  <c r="H10" i="4"/>
  <c r="G10" i="4"/>
  <c r="F10" i="4"/>
  <c r="E10" i="4"/>
  <c r="D10" i="4"/>
  <c r="C10" i="4"/>
  <c r="J9" i="4"/>
  <c r="I9" i="4"/>
  <c r="H9" i="4"/>
  <c r="G9" i="4"/>
  <c r="F9" i="4"/>
  <c r="E9" i="4"/>
  <c r="D9" i="4"/>
  <c r="C9" i="4"/>
  <c r="J8" i="4"/>
  <c r="I8" i="4"/>
  <c r="H8" i="4"/>
  <c r="G8" i="4"/>
  <c r="F8" i="4"/>
  <c r="E8" i="4"/>
  <c r="D8" i="4"/>
  <c r="C8" i="4"/>
  <c r="J7" i="4"/>
  <c r="I7" i="4"/>
  <c r="H7" i="4"/>
  <c r="G7" i="4"/>
  <c r="F7" i="4"/>
  <c r="E7" i="4"/>
  <c r="D7" i="4"/>
  <c r="C7" i="4"/>
  <c r="C37" i="3"/>
  <c r="C36" i="3"/>
  <c r="C35" i="3"/>
  <c r="D34" i="3"/>
  <c r="C34" i="3"/>
  <c r="C33" i="3"/>
  <c r="C32" i="3"/>
  <c r="C31" i="3"/>
  <c r="D30" i="3"/>
  <c r="C30" i="3"/>
  <c r="C24" i="3"/>
  <c r="C23" i="3"/>
  <c r="G22" i="3"/>
  <c r="C22" i="3"/>
  <c r="G21" i="3"/>
  <c r="C21" i="3"/>
  <c r="G20" i="3"/>
  <c r="C20" i="3"/>
  <c r="C14" i="3"/>
  <c r="D14" i="3" s="1"/>
  <c r="H13" i="3"/>
  <c r="C13" i="3"/>
  <c r="D13" i="3" s="1"/>
  <c r="C12" i="3"/>
  <c r="D12" i="3" s="1"/>
  <c r="D15" i="3" s="1"/>
  <c r="C5" i="3"/>
  <c r="D35" i="3" s="1"/>
  <c r="F24" i="2"/>
  <c r="F23" i="2"/>
  <c r="F22" i="2"/>
  <c r="F21" i="2"/>
  <c r="F20" i="2"/>
  <c r="F19" i="2"/>
  <c r="F18" i="2"/>
  <c r="F17" i="2"/>
  <c r="F16" i="2"/>
  <c r="F15" i="2"/>
  <c r="F14" i="2"/>
  <c r="F13" i="2"/>
  <c r="D7" i="2" s="1"/>
  <c r="B7" i="2"/>
  <c r="A66" i="1"/>
  <c r="A65" i="1"/>
  <c r="A64" i="1"/>
  <c r="A63" i="1"/>
  <c r="A62" i="1"/>
  <c r="A61" i="1"/>
  <c r="A60" i="1"/>
  <c r="A59" i="1"/>
  <c r="A56" i="1"/>
  <c r="A55" i="1"/>
  <c r="A54" i="1"/>
  <c r="A53" i="1"/>
  <c r="A52" i="1"/>
  <c r="A51" i="1"/>
  <c r="A50" i="1"/>
  <c r="A48" i="1"/>
  <c r="A47" i="1"/>
  <c r="A44" i="1"/>
  <c r="A43" i="1"/>
  <c r="A41" i="1"/>
  <c r="A40" i="1"/>
  <c r="A39" i="1"/>
  <c r="A38"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2" i="1"/>
  <c r="H12" i="3" l="1"/>
  <c r="I15" i="3"/>
  <c r="E5" i="3"/>
  <c r="H14" i="3"/>
  <c r="H16" i="3"/>
  <c r="D32" i="3"/>
  <c r="D36" i="3"/>
  <c r="A3" i="1"/>
  <c r="C30" i="2" s="1"/>
  <c r="G5" i="3"/>
  <c r="I14" i="3"/>
  <c r="I16" i="3"/>
  <c r="D33" i="3"/>
  <c r="D37" i="3"/>
  <c r="I12" i="3"/>
  <c r="G14" i="3"/>
  <c r="G16" i="3"/>
  <c r="I5" i="3"/>
  <c r="G13" i="3"/>
  <c r="C15" i="3"/>
  <c r="B6" i="5"/>
  <c r="I13" i="3"/>
  <c r="G15" i="3"/>
  <c r="G12" i="3"/>
  <c r="H15" i="3"/>
  <c r="D31" i="3"/>
  <c r="E6" i="5" l="1"/>
  <c r="D6" i="5"/>
  <c r="C6" i="5"/>
  <c r="H6" i="5"/>
  <c r="G6" i="5"/>
  <c r="F6" i="5"/>
  <c r="B7" i="5"/>
  <c r="B29" i="2"/>
  <c r="E30" i="2"/>
  <c r="A37" i="1"/>
  <c r="B35" i="2"/>
  <c r="E36" i="2"/>
  <c r="A42" i="1" l="1"/>
  <c r="C36" i="2"/>
  <c r="F7" i="5"/>
  <c r="E7" i="5"/>
  <c r="D7" i="5"/>
  <c r="C7" i="5"/>
  <c r="H7" i="5"/>
  <c r="G7" i="5"/>
  <c r="B8" i="5"/>
  <c r="B38" i="2"/>
  <c r="B37" i="2"/>
  <c r="D36" i="2"/>
  <c r="B36" i="2"/>
  <c r="B39" i="2"/>
  <c r="B32" i="2"/>
  <c r="B31" i="2"/>
  <c r="D30" i="2"/>
  <c r="B30" i="2"/>
  <c r="B33" i="2"/>
  <c r="E48" i="2" l="1"/>
  <c r="B41" i="2"/>
  <c r="B47" i="2"/>
  <c r="G8" i="5"/>
  <c r="F8" i="5"/>
  <c r="E8" i="5"/>
  <c r="D8" i="5"/>
  <c r="C8" i="5"/>
  <c r="H8" i="5"/>
  <c r="A49" i="1"/>
  <c r="E42" i="2"/>
  <c r="A45" i="1"/>
  <c r="C48" i="2"/>
  <c r="B9" i="5"/>
  <c r="A46" i="1"/>
  <c r="C42" i="2"/>
  <c r="A58" i="1" l="1"/>
  <c r="C54" i="2" s="1"/>
  <c r="C60" i="2"/>
  <c r="A57" i="1"/>
  <c r="C108" i="2" s="1"/>
  <c r="E54" i="2"/>
  <c r="E60" i="2"/>
  <c r="B50" i="2"/>
  <c r="B49" i="2"/>
  <c r="D48" i="2"/>
  <c r="B48" i="2"/>
  <c r="B51" i="2"/>
  <c r="H9" i="5"/>
  <c r="G9" i="5"/>
  <c r="F9" i="5"/>
  <c r="E9" i="5"/>
  <c r="D9" i="5"/>
  <c r="C9" i="5"/>
  <c r="B53" i="2"/>
  <c r="B11" i="5"/>
  <c r="B10" i="5"/>
  <c r="B59" i="2"/>
  <c r="B44" i="2"/>
  <c r="B43" i="2"/>
  <c r="D42" i="2"/>
  <c r="B42" i="2"/>
  <c r="B45" i="2"/>
  <c r="C84" i="2" l="1"/>
  <c r="C138" i="2"/>
  <c r="E96" i="2"/>
  <c r="E72" i="2"/>
  <c r="B56" i="2"/>
  <c r="B55" i="2"/>
  <c r="D54" i="2"/>
  <c r="B54" i="2"/>
  <c r="B57" i="2"/>
  <c r="B107" i="2"/>
  <c r="E102" i="2"/>
  <c r="B95" i="2"/>
  <c r="B113" i="2"/>
  <c r="B13" i="5"/>
  <c r="B14" i="5"/>
  <c r="B65" i="2"/>
  <c r="C90" i="2"/>
  <c r="B17" i="5"/>
  <c r="B25" i="5"/>
  <c r="E138" i="2"/>
  <c r="E132" i="2"/>
  <c r="E126" i="2"/>
  <c r="B71" i="2"/>
  <c r="B20" i="5"/>
  <c r="C144" i="2"/>
  <c r="B89" i="2"/>
  <c r="E120" i="2"/>
  <c r="B16" i="5"/>
  <c r="E108" i="2"/>
  <c r="H11" i="5"/>
  <c r="G11" i="5"/>
  <c r="F11" i="5"/>
  <c r="E11" i="5"/>
  <c r="D11" i="5"/>
  <c r="C11" i="5"/>
  <c r="C102" i="2"/>
  <c r="C72" i="2"/>
  <c r="B12" i="5"/>
  <c r="B21" i="5"/>
  <c r="E114" i="2"/>
  <c r="E90" i="2"/>
  <c r="E66" i="2"/>
  <c r="B22" i="5"/>
  <c r="B62" i="2"/>
  <c r="B61" i="2"/>
  <c r="D60" i="2"/>
  <c r="B60" i="2"/>
  <c r="B63" i="2"/>
  <c r="B101" i="2"/>
  <c r="C120" i="2"/>
  <c r="B125" i="2"/>
  <c r="C132" i="2"/>
  <c r="C126" i="2"/>
  <c r="C96" i="2"/>
  <c r="E78" i="2"/>
  <c r="C78" i="2"/>
  <c r="B15" i="5"/>
  <c r="E84" i="2"/>
  <c r="B24" i="5"/>
  <c r="E144" i="2"/>
  <c r="B18" i="5"/>
  <c r="C66" i="2"/>
  <c r="B137" i="2"/>
  <c r="B83" i="2"/>
  <c r="B19" i="5"/>
  <c r="H10" i="5"/>
  <c r="G10" i="5"/>
  <c r="F10" i="5"/>
  <c r="E10" i="5"/>
  <c r="D10" i="5"/>
  <c r="C10" i="5"/>
  <c r="B119" i="2"/>
  <c r="B131" i="2"/>
  <c r="B23" i="5"/>
  <c r="B77" i="2"/>
  <c r="B143" i="2"/>
  <c r="C114" i="2"/>
  <c r="F15" i="5" l="1"/>
  <c r="E15" i="5"/>
  <c r="D15" i="5"/>
  <c r="C15" i="5"/>
  <c r="H15" i="5"/>
  <c r="G15" i="5"/>
  <c r="B68" i="2"/>
  <c r="B67" i="2"/>
  <c r="D66" i="2"/>
  <c r="B66" i="2"/>
  <c r="B69" i="2"/>
  <c r="B140" i="2"/>
  <c r="B139" i="2"/>
  <c r="D138" i="2"/>
  <c r="B138" i="2"/>
  <c r="B141" i="2"/>
  <c r="D21" i="5"/>
  <c r="C21" i="5"/>
  <c r="H21" i="5"/>
  <c r="G21" i="5"/>
  <c r="F21" i="5"/>
  <c r="E21" i="5"/>
  <c r="B74" i="2"/>
  <c r="B73" i="2"/>
  <c r="D72" i="2"/>
  <c r="B72" i="2"/>
  <c r="B75" i="2"/>
  <c r="E14" i="5"/>
  <c r="D14" i="5"/>
  <c r="C14" i="5"/>
  <c r="H14" i="5"/>
  <c r="G14" i="5"/>
  <c r="F14" i="5"/>
  <c r="C20" i="5"/>
  <c r="H20" i="5"/>
  <c r="G20" i="5"/>
  <c r="F20" i="5"/>
  <c r="E20" i="5"/>
  <c r="D20" i="5"/>
  <c r="B134" i="2"/>
  <c r="B133" i="2"/>
  <c r="D132" i="2"/>
  <c r="B132" i="2"/>
  <c r="B135" i="2"/>
  <c r="B122" i="2"/>
  <c r="B121" i="2"/>
  <c r="D120" i="2"/>
  <c r="B120" i="2"/>
  <c r="B123" i="2"/>
  <c r="B86" i="2"/>
  <c r="B85" i="2"/>
  <c r="D84" i="2"/>
  <c r="B84" i="2"/>
  <c r="B87" i="2"/>
  <c r="B98" i="2"/>
  <c r="B97" i="2"/>
  <c r="D96" i="2"/>
  <c r="B96" i="2"/>
  <c r="B99" i="2"/>
  <c r="B104" i="2"/>
  <c r="B103" i="2"/>
  <c r="D102" i="2"/>
  <c r="B102" i="2"/>
  <c r="B105" i="2"/>
  <c r="C12" i="5"/>
  <c r="H12" i="5"/>
  <c r="G12" i="5"/>
  <c r="F12" i="5"/>
  <c r="E12" i="5"/>
  <c r="D12" i="5"/>
  <c r="D13" i="5"/>
  <c r="C13" i="5"/>
  <c r="H13" i="5"/>
  <c r="G13" i="5"/>
  <c r="F13" i="5"/>
  <c r="E13" i="5"/>
  <c r="H18" i="5"/>
  <c r="G18" i="5"/>
  <c r="F18" i="5"/>
  <c r="E18" i="5"/>
  <c r="D18" i="5"/>
  <c r="C18" i="5"/>
  <c r="B116" i="2"/>
  <c r="B115" i="2"/>
  <c r="D114" i="2"/>
  <c r="B114" i="2"/>
  <c r="B117" i="2"/>
  <c r="B146" i="2"/>
  <c r="B145" i="2"/>
  <c r="D144" i="2"/>
  <c r="B144" i="2"/>
  <c r="B147" i="2"/>
  <c r="G16" i="5"/>
  <c r="F16" i="5"/>
  <c r="E16" i="5"/>
  <c r="D16" i="5"/>
  <c r="C16" i="5"/>
  <c r="H16" i="5"/>
  <c r="B80" i="2"/>
  <c r="B79" i="2"/>
  <c r="D78" i="2"/>
  <c r="B78" i="2"/>
  <c r="B81" i="2"/>
  <c r="G24" i="5"/>
  <c r="F24" i="5"/>
  <c r="E24" i="5"/>
  <c r="D24" i="5"/>
  <c r="C24" i="5"/>
  <c r="H24" i="5"/>
  <c r="B128" i="2"/>
  <c r="B127" i="2"/>
  <c r="D126" i="2"/>
  <c r="B126" i="2"/>
  <c r="B129" i="2"/>
  <c r="E22" i="5"/>
  <c r="D22" i="5"/>
  <c r="C22" i="5"/>
  <c r="H22" i="5"/>
  <c r="G22" i="5"/>
  <c r="F22" i="5"/>
  <c r="H25" i="5"/>
  <c r="G25" i="5"/>
  <c r="F25" i="5"/>
  <c r="E25" i="5"/>
  <c r="D25" i="5"/>
  <c r="C25" i="5"/>
  <c r="B92" i="2"/>
  <c r="B91" i="2"/>
  <c r="D90" i="2"/>
  <c r="B90" i="2"/>
  <c r="B93" i="2"/>
  <c r="H17" i="5"/>
  <c r="G17" i="5"/>
  <c r="F17" i="5"/>
  <c r="E17" i="5"/>
  <c r="D17" i="5"/>
  <c r="C17" i="5"/>
  <c r="B110" i="2"/>
  <c r="B109" i="2"/>
  <c r="D108" i="2"/>
  <c r="B108" i="2"/>
  <c r="B111" i="2"/>
  <c r="F23" i="5"/>
  <c r="E23" i="5"/>
  <c r="D23" i="5"/>
  <c r="C23" i="5"/>
  <c r="H23" i="5"/>
  <c r="G23" i="5"/>
  <c r="H19" i="5"/>
  <c r="G19" i="5"/>
  <c r="F19" i="5"/>
  <c r="E19" i="5"/>
  <c r="D19" i="5"/>
  <c r="C19" i="5"/>
</calcChain>
</file>

<file path=xl/sharedStrings.xml><?xml version="1.0" encoding="utf-8"?>
<sst xmlns="http://schemas.openxmlformats.org/spreadsheetml/2006/main" count="1154" uniqueCount="294">
  <si>
    <t>Helper_Match_Index</t>
  </si>
  <si>
    <t>Dấu thời gian</t>
  </si>
  <si>
    <t>Họ và tên</t>
  </si>
  <si>
    <t>Bằng cấp cao nhất</t>
  </si>
  <si>
    <t>Các học phần giảng dạy</t>
  </si>
  <si>
    <t>Số điện thoại</t>
  </si>
  <si>
    <t>Email</t>
  </si>
  <si>
    <t>Chương trình đào tạo</t>
  </si>
  <si>
    <t>PLO 1</t>
  </si>
  <si>
    <t>PLO 2</t>
  </si>
  <si>
    <t>PLO 3</t>
  </si>
  <si>
    <t>PLO 4</t>
  </si>
  <si>
    <t>PLO 5</t>
  </si>
  <si>
    <t>PLO 6</t>
  </si>
  <si>
    <t>PLO 7</t>
  </si>
  <si>
    <t>PLO 8</t>
  </si>
  <si>
    <t>PLO 9</t>
  </si>
  <si>
    <t>PLO 10</t>
  </si>
  <si>
    <t>PLO 11</t>
  </si>
  <si>
    <t>PLO 12</t>
  </si>
  <si>
    <t>Góp ý đề xuất khác</t>
  </si>
  <si>
    <t>3/17 Tiêu chí 1</t>
  </si>
  <si>
    <t>3/17 Tiêu chí 2</t>
  </si>
  <si>
    <t>3/17 Tiêu chí 3</t>
  </si>
  <si>
    <t>3/17 Tiêu chí 4</t>
  </si>
  <si>
    <t>3/17 Tiêu chí 5</t>
  </si>
  <si>
    <t>Học phần nên loại bỏ</t>
  </si>
  <si>
    <t>Học phần nên thêm</t>
  </si>
  <si>
    <t>Tham gia điều chỉnh CTĐT</t>
  </si>
  <si>
    <t>7/17 PP Giảng dạy 1</t>
  </si>
  <si>
    <t>7/17 PP Giảng dạy 2</t>
  </si>
  <si>
    <t>8/17 Nội dung 1</t>
  </si>
  <si>
    <t>8/17 Nội dung 2</t>
  </si>
  <si>
    <t>8/17 Nội dung 3</t>
  </si>
  <si>
    <t>9/17 Hài lòng phân công</t>
  </si>
  <si>
    <t>10/17 Ý kiến phân công</t>
  </si>
  <si>
    <t>11/17 Phòng học 1</t>
  </si>
  <si>
    <t>11/17 Phòng học 2</t>
  </si>
  <si>
    <t>11/17 Phòng học 3</t>
  </si>
  <si>
    <t>11/17 Phòng học 4</t>
  </si>
  <si>
    <t>11/17 Phòng học 5</t>
  </si>
  <si>
    <t>11/17 Phòng học 6</t>
  </si>
  <si>
    <t>11/17 Phòng học 7</t>
  </si>
  <si>
    <t>11/17 Phòng học 8</t>
  </si>
  <si>
    <t>11/17 Phòng học 9</t>
  </si>
  <si>
    <t>12/17 Thực hành 1</t>
  </si>
  <si>
    <t>12/17 Thực hành 2</t>
  </si>
  <si>
    <t>12/17 Thực hành 3</t>
  </si>
  <si>
    <t>12/17 Thực hành 4</t>
  </si>
  <si>
    <t>12/17 Thực hành 5</t>
  </si>
  <si>
    <t>12/17 Thực hành 6</t>
  </si>
  <si>
    <t>13/17 Tư liệu 1</t>
  </si>
  <si>
    <t>13/17 Tư liệu 2</t>
  </si>
  <si>
    <t>13/17 Tư liệu 3</t>
  </si>
  <si>
    <t>13/17 Tư liệu 4</t>
  </si>
  <si>
    <t>13/17 Tư liệu 5</t>
  </si>
  <si>
    <t>13/17 Tư liệu 6</t>
  </si>
  <si>
    <t>13/17 Tư liệu 7</t>
  </si>
  <si>
    <t>14/17 Hài lòng đánh giá CTĐT</t>
  </si>
  <si>
    <t>15/17 Ý kiến đánh giá CTĐT</t>
  </si>
  <si>
    <t>16/17 Lộ trình phát triển</t>
  </si>
  <si>
    <t>17/17 Ý kiến khác</t>
  </si>
  <si>
    <t>Nguyễn Văn Lành</t>
  </si>
  <si>
    <t>Tiến sĩ</t>
  </si>
  <si>
    <t xml:space="preserve">Năng lượng sinh khối; Lò hơi Công nghiệp; </t>
  </si>
  <si>
    <t>0917118309</t>
  </si>
  <si>
    <t>nvlanh@hcmuaf.edu.vn</t>
  </si>
  <si>
    <t>Năng lượng tái tạo</t>
  </si>
  <si>
    <t>A</t>
  </si>
  <si>
    <t>Được biết, được hỏi ý kiến và được yêu cầu tham gia</t>
  </si>
  <si>
    <t>Hài lòng</t>
  </si>
  <si>
    <t>Quản lý ngành Công nghệ Kỹ thuật Năng lượng tái tạo</t>
  </si>
  <si>
    <t>Thường xuyên</t>
  </si>
  <si>
    <t>An toàn lao động, Máy sau thu hoạch</t>
  </si>
  <si>
    <t>Cơ khí Nông Lâm</t>
  </si>
  <si>
    <t>B</t>
  </si>
  <si>
    <t>C</t>
  </si>
  <si>
    <t>An toàn lao động, Lò hơi Công nghiệp</t>
  </si>
  <si>
    <t>Nhiệt lạnh</t>
  </si>
  <si>
    <t>Lê Quang Hiền</t>
  </si>
  <si>
    <t>Thạc sĩ</t>
  </si>
  <si>
    <t>PLC và ứng dụng, Scada</t>
  </si>
  <si>
    <t>0833444193</t>
  </si>
  <si>
    <t>lqhien@hcmuaf.edu.vn</t>
  </si>
  <si>
    <t>Tự động hóa</t>
  </si>
  <si>
    <t>Không cần bớt</t>
  </si>
  <si>
    <t>Không cần thêm</t>
  </si>
  <si>
    <t>Không</t>
  </si>
  <si>
    <t>Rất hài lòng</t>
  </si>
  <si>
    <t>Không ý kiến</t>
  </si>
  <si>
    <t>không ý kiến khác</t>
  </si>
  <si>
    <t>NGUYỄN VÕ NGỌC THẠCH</t>
  </si>
  <si>
    <t>Ph.D Student</t>
  </si>
  <si>
    <t>0939386008</t>
  </si>
  <si>
    <t>nvnthach@hcmuaf.edu.vn</t>
  </si>
  <si>
    <t>Nên đưa các học phần: Robot Operation System, Vision Computer,Application Deep Learning and Machine Learning in Control vào chương trình đào tạo</t>
  </si>
  <si>
    <t>Cơ điện tử</t>
  </si>
  <si>
    <t>Nên đưa vào chương trinh các học phần: Robot Operation System, Machine Learning and Deep Learning in Control</t>
  </si>
  <si>
    <t>Phan Minh Hiếu</t>
  </si>
  <si>
    <t>207126, 207154, 207603</t>
  </si>
  <si>
    <t>0937569915</t>
  </si>
  <si>
    <t>phanminhhieu@hcmuaf.edu.vn</t>
  </si>
  <si>
    <t xml:space="preserve">Nguyễn Thị Kiều Hạnh </t>
  </si>
  <si>
    <t>Hình học hoạ hình - Vẽ kỹ thuật, Vẽ kỹ thuật 2, Chi tiết mây, Đồ án chi tiết máy</t>
  </si>
  <si>
    <t>0983035396</t>
  </si>
  <si>
    <t>nguyenkieuhanh@hcmuaf.edu.vn</t>
  </si>
  <si>
    <t>Được biết nhưng không được tham gia</t>
  </si>
  <si>
    <t>Thỉnh thoảng</t>
  </si>
  <si>
    <t>Vo Huy Thinh</t>
  </si>
  <si>
    <t>AVKT, KTDT</t>
  </si>
  <si>
    <t>thinh.vohuy@hcmuaf.edu.vn</t>
  </si>
  <si>
    <t>Được biết, được hỏi ý kiến</t>
  </si>
  <si>
    <t>Hồ Văn Nghĩa</t>
  </si>
  <si>
    <t>Đại học / Kỹ sư</t>
  </si>
  <si>
    <t xml:space="preserve">Ngôn ngữ lập trình kỹ thuật. Cơ sở điều khiển tự động. Kỹ thuật điện. Khí cụ điện. Matlab ứng dụng. xử lý ảnh. Kỹ thuật xung. </t>
  </si>
  <si>
    <t>0966119012</t>
  </si>
  <si>
    <t>nghia.hovan@hcmuaf.edu.vn</t>
  </si>
  <si>
    <t>Cao Đức Lợi</t>
  </si>
  <si>
    <t xml:space="preserve">Cơ sở điều khiển tự động, Lý thuyết điều khiển nâng cao, trí tuệ nhân tạo trong điều khiển, kỹ thuật điện, khí cụ điện, phát truyền tải điện, </t>
  </si>
  <si>
    <t>0366459000</t>
  </si>
  <si>
    <t>cdloi@hcmuaf.edu.vn</t>
  </si>
  <si>
    <t>Toán kỹ thuật</t>
  </si>
  <si>
    <t>Nguyễn Tấn Phúc</t>
  </si>
  <si>
    <t>207616,207628,207629</t>
  </si>
  <si>
    <t>0767102772</t>
  </si>
  <si>
    <t>phucnt@hcmuaf.edu.vn</t>
  </si>
  <si>
    <t>Hình học hoạ hình - Vẽ kỹ thuật, Vẽ kỹ thuật 2, Chi tiết máy</t>
  </si>
  <si>
    <t>Hoàn toàn không được thông báo</t>
  </si>
  <si>
    <t>phan trọng nghĩa</t>
  </si>
  <si>
    <t>thực hành khí nén thủy lực, thực hành kỹ thuật số</t>
  </si>
  <si>
    <t>0965784552</t>
  </si>
  <si>
    <t>nghia.phantrong@hcmuaf.edu.vn</t>
  </si>
  <si>
    <t>Đào Duy Vinh</t>
  </si>
  <si>
    <t>Cad Cam CNC, CB</t>
  </si>
  <si>
    <t>0972446350</t>
  </si>
  <si>
    <t>Nên tăng cường nội dung về nông nghiệp công nghệ cao, thông minh</t>
  </si>
  <si>
    <t>Tạm hài lòng</t>
  </si>
  <si>
    <t>Không bao giờ</t>
  </si>
  <si>
    <t>KTX, CB</t>
  </si>
  <si>
    <t>nông nghiệp công nhệ cao, thông minh</t>
  </si>
  <si>
    <t>Trần Thị Kim Ngà</t>
  </si>
  <si>
    <t>Kỹ thuật điện tử, Kỹ thuật xử lý ảnh</t>
  </si>
  <si>
    <t>ttknga@hcmuaf.edu.vn</t>
  </si>
  <si>
    <t>Kỹ thuật xử lý ảnh</t>
  </si>
  <si>
    <t>Nguyễn Đức Khuyến</t>
  </si>
  <si>
    <t>xxx</t>
  </si>
  <si>
    <t>207126; 207154; 207603</t>
  </si>
  <si>
    <t>Kỷ thuật điện tử</t>
  </si>
  <si>
    <t>Trần Văn Tuấn</t>
  </si>
  <si>
    <t>Bơm Quạt Máy nén</t>
  </si>
  <si>
    <t>0908491324</t>
  </si>
  <si>
    <t>tvtuan@hcmuaf.edu.vn</t>
  </si>
  <si>
    <t>NGUYỄN ĐĂNG KHOA</t>
  </si>
  <si>
    <t>Kỹ thuật lập trình, mạch điện, Điện tử công suất</t>
  </si>
  <si>
    <t>0779905412</t>
  </si>
  <si>
    <t>dangkhoa@hcmuaf.edu.vn</t>
  </si>
  <si>
    <t>Nguyễn Đăng Khoa</t>
  </si>
  <si>
    <t>Kỹ thuật lập trình, điện tử công suất</t>
  </si>
  <si>
    <t>207550 207553</t>
  </si>
  <si>
    <t>0937569910</t>
  </si>
  <si>
    <t>Phanminhhieu@hcmuaf.edu.vn</t>
  </si>
  <si>
    <t>Lê Văn Tuấn</t>
  </si>
  <si>
    <t>AutoCAD ,  ƯD THTTKM, Thực tập gia công hàn - nguội</t>
  </si>
  <si>
    <t>levantuanck@hcmuaf.edu.vn</t>
  </si>
  <si>
    <t>Bùi Văn Cương</t>
  </si>
  <si>
    <t>thực hành</t>
  </si>
  <si>
    <t>0978432172</t>
  </si>
  <si>
    <t>cuong.buivan@hcmuaf.edu.vn</t>
  </si>
  <si>
    <t>Bổ sung các học phần về điện công nghiệp</t>
  </si>
  <si>
    <t>Cảm biến, CNC</t>
  </si>
  <si>
    <t>Lê Quang Giảng</t>
  </si>
  <si>
    <t>Cơ sở truyền nhiệt, Thiết bị trao đổi nhiệt.</t>
  </si>
  <si>
    <t>0913149292</t>
  </si>
  <si>
    <t>lqgiang@hcmuaf.edu.vn</t>
  </si>
  <si>
    <t>Nguyễn Thị Phương Thảo</t>
  </si>
  <si>
    <t>Dung sai và Kỹ thuật đo lường</t>
  </si>
  <si>
    <t>0906353008</t>
  </si>
  <si>
    <t>phuongthao.ngth@gmail.com</t>
  </si>
  <si>
    <t>Hình học hoạ hình - Vẽ kỹ thuật, Vẽ kỹ thuật 2, Chi tiết máy, Đồ án chi tiết máy</t>
  </si>
  <si>
    <t>Công nghệ Ô tô</t>
  </si>
  <si>
    <t>Vẽ kỹ thuật 2</t>
  </si>
  <si>
    <t>Nguyễn Thanh Nghị</t>
  </si>
  <si>
    <t>Máy nông nghiệp; Máy thu hoạch; Anh văn kỹ thuật</t>
  </si>
  <si>
    <t>0903851802</t>
  </si>
  <si>
    <t>ntnghi@hcmuaf.edu.vn</t>
  </si>
  <si>
    <t>Phan trọng nghĩa</t>
  </si>
  <si>
    <t>Thực hành khí nén - thuỷ lực, thực hành kỹ thuật số</t>
  </si>
  <si>
    <t>Nghia.phantrong@hcmuaf.edu.vn</t>
  </si>
  <si>
    <t>Thiết kế mạch</t>
  </si>
  <si>
    <t>Rất không hài lòng</t>
  </si>
  <si>
    <t>Thêm học phần thiết kế mạch, thêm học phần dạy lập trình gcode bằng phần mềm dùng cho máy CNC</t>
  </si>
  <si>
    <t>Kỹ thuật điện, khí cụ điện, phát truyền tải điện, cơ sở dk tự động, lý thuyết điều khiển nâng cao, trí tuệ nhân tạo trong điều khiển</t>
  </si>
  <si>
    <t>Toán kĩ thuật</t>
  </si>
  <si>
    <t>Cơ khí chế biến &amp; BQ</t>
  </si>
  <si>
    <t>Nguyễn Văn Tuấn Anh</t>
  </si>
  <si>
    <t>Động cơ đốt trong, bảo dưỡng kỹ thuật 1, 2</t>
  </si>
  <si>
    <t>0977734904</t>
  </si>
  <si>
    <t>nvtanh@hcmuaf.edu.vn</t>
  </si>
  <si>
    <t>Cad Cam CNC</t>
  </si>
  <si>
    <t>Áp dụng số hóa trog nông nghiệp, Drone trong nông nghiệp Việt Nam, Tiêu chuẩn an toàn trong chế biến nông sản, thực phẩm</t>
  </si>
  <si>
    <t>Cần có phương pháp đánh giá cụ thể , rõ ràng, ứng dụng công nghệ số vào đánh giá quá trình và kết thúc môn học, cũng như kết thúc chương trình</t>
  </si>
  <si>
    <t>Cần trang bị thêm một số thiết bị thí ngiệm tương đối tránh sử dụng các thiết bị thí nghiệm lỗi thời, lạc hậu. Tăng cường áp dụng công nghệ mới vào các bài thực hành, giảm khoảng cách giữa sinh viên và thực tế.</t>
  </si>
  <si>
    <t>Nguyễn Thị Kiều Hạnh</t>
  </si>
  <si>
    <t>Hình học họa hình - Vẽ kỹ thuật, Vẽ kỹ thuật 2, Vẽ cơ khí, Chi tiết máy, Đồ án chi tiết máy</t>
  </si>
  <si>
    <t>Hình họa họa hình - Vẽ kỹ thuật, Vẽ kỹ thuật 2, Vẽ cơ khí, Chi tiết máy, Đồ án chi tiết máy</t>
  </si>
  <si>
    <t>An toàn lao động và môi trường công nghiệp</t>
  </si>
  <si>
    <t>Kỹ thuật điện, PLC và ứng dụng</t>
  </si>
  <si>
    <t>Kỹ thuật điện</t>
  </si>
  <si>
    <t>Scada, Điều khiển và Lập trình (PLC)</t>
  </si>
  <si>
    <t>Truyền nhiệt truyền khối</t>
  </si>
  <si>
    <t xml:space="preserve">Đào Duy Vinh </t>
  </si>
  <si>
    <t xml:space="preserve">Kỹ thuật đo lường cảm biến, cơ sở khí nén và thủy lực </t>
  </si>
  <si>
    <t xml:space="preserve">Kỹ thuật vi điều khiển, </t>
  </si>
  <si>
    <t>Nguyễn huy bích</t>
  </si>
  <si>
    <t>Nhập môn NLTT; anh văn KT; Điện Mặt trời</t>
  </si>
  <si>
    <t>0908961309</t>
  </si>
  <si>
    <t>nhbich@hcmuaf.edu.vn</t>
  </si>
  <si>
    <t xml:space="preserve">Thay đổi tỷ lệ lý thuyết/ thực hành các HP chuyên ngành; tăng cường cơ sở thực hành cho đào tạo; thường xuyên kiểm tra và đánh giá chất lượng dạy học của GV và học của SV; </t>
  </si>
  <si>
    <t>Giảm các HP liên quan đến cơ học, tăng HP về Điện và điều khiển</t>
  </si>
  <si>
    <t>Tăng học phần IoT và AI</t>
  </si>
  <si>
    <t>Nghỉ hưu nên không ý kiến</t>
  </si>
  <si>
    <t>Chất lượng chương trình là điều kiện cần. Chất lượng đào tạo do chất lượng ngừoi dạy và các thiets bị thực hành và thực tập xí nghiệp quyết định. Chương trình đào tạo dễ dàng copy từ những trường hàng đầu nhưng chất lượng ngừoi dạy không thể copy. Muốn nâng cao chất lượng hãy thực hiện các công việc liên quan đế ngừoi dạy trên hết vad trước hết!</t>
  </si>
  <si>
    <t>Khoa và trường nên thực hiện quản trị nghiêm túc chất lượng dạy học của ngừoi dạy! Chương trình tốt không phải là keypoint của chất lưuong đào tạo, chất lượng ở ngừoi dạy, thái độ ngừoi học và các phương tiện đào tạo kèm theo.</t>
  </si>
  <si>
    <t>Nguyễn tấn Phúc</t>
  </si>
  <si>
    <t>AutoCAD, UDTHTTKM, Thực tập gia công Hàn - Nguội</t>
  </si>
  <si>
    <t>AutoCAD, UDTHTTKM, Thực tập gia công Hàn Nguội</t>
  </si>
  <si>
    <t>TRƯƠNG QUANG TRƯỜNG</t>
  </si>
  <si>
    <t>Nguyên lý máy, Sức bền vật liệu, Cơ học ứng dụng,...</t>
  </si>
  <si>
    <t>0933459303</t>
  </si>
  <si>
    <t>tqtruong@hcmuaf.edu.vn</t>
  </si>
  <si>
    <t>Nguyên lý máy, SBVL, Cơ học ứng dụng</t>
  </si>
  <si>
    <t>Cơ học ứng dụng</t>
  </si>
  <si>
    <t>Nguyên lý máy, SBVL</t>
  </si>
  <si>
    <t>Trương Quang Trường</t>
  </si>
  <si>
    <t>Kỹ thuật Cơ khí NC</t>
  </si>
  <si>
    <t>AutoCAD; UDTHTTKM; Thực tập gia công Hàn - Nguội</t>
  </si>
  <si>
    <t>Tối ưu hóa hệ thống năng lượng</t>
  </si>
  <si>
    <t>Thủy điện và các dạng năng lượng khác</t>
  </si>
  <si>
    <t>Học phần liên quan đến vẽ kỹ thuật có thể sử dụng AutoCAD và Solidworks</t>
  </si>
  <si>
    <t>Ngôn ngữ lập trình kỹ thuật. Kỹ thuật điện</t>
  </si>
  <si>
    <t>BỘ LỌC THỐNG KÊ CHI TIẾT THEO NGÀNH (GIẢNG VIÊN ĐÁNH GIÁ)</t>
  </si>
  <si>
    <t>Chọn chuyên ngành ở ô C5 bên dưới để xem toàn bộ thông tin khảo sát tương ứng của ngành học đó.</t>
  </si>
  <si>
    <t>Chọn chuyên ngành:</t>
  </si>
  <si>
    <t>TỔNG GIẢNG VIÊN</t>
  </si>
  <si>
    <t>ĐIỂM PLO TRUNG BÌNH</t>
  </si>
  <si>
    <t>I. ĐÁNH GIÁ CHUẨN ĐẦU RA PLO (Thang điểm 1 - 5)</t>
  </si>
  <si>
    <t>Chuẩn đầu ra (PLO)</t>
  </si>
  <si>
    <t>Điểm trung bình</t>
  </si>
  <si>
    <t>II. CHI TIẾT Ý KIẾN &amp; GÓP Ý CỦA CÁC GIẢNG VIÊN TRONG NGÀNH</t>
  </si>
  <si>
    <t>DASHBOARD THỐNG KÊ KHẢO SÁT Ý KIẾN GIẢNG VIÊN</t>
  </si>
  <si>
    <t>Về chương trình đào tạo &amp; điều kiện giảng dạy Khoa Cơ khí - Công nghệ, ĐH Nông Lâm TPHCM</t>
  </si>
  <si>
    <t>TỔNG SỐ GIẢNG VIÊN</t>
  </si>
  <si>
    <t>TỶ LỆ TIẾN SĨ (%)</t>
  </si>
  <si>
    <t>HÀI LÒNG PHÂN CÔNG</t>
  </si>
  <si>
    <t>HÀI LÒNG ĐÁNH GIÁ CTĐT</t>
  </si>
  <si>
    <t>I. CƠ CẤU BẰNG CẤP CỦA GIẢNG VIÊN THAM GIA KHẢO SÁT</t>
  </si>
  <si>
    <t>II. ĐÁNH GIÁ SỰ PHÙ HỢP CỦA KHUNG CHƯƠNG TRÌNH ĐÀO TẠO (3/17)</t>
  </si>
  <si>
    <t>Trình độ / Bằng cấp</t>
  </si>
  <si>
    <t>Số lượng</t>
  </si>
  <si>
    <t>Tỷ lệ %</t>
  </si>
  <si>
    <t>Tiêu chí khảo sát</t>
  </si>
  <si>
    <t>Rất phù hợp (A)</t>
  </si>
  <si>
    <t>Phù hợp (B)</t>
  </si>
  <si>
    <t>Chưa phù hợp (C)</t>
  </si>
  <si>
    <t>1. Tỉ lệ giữa các khối kiến thức lý thuyết / chuyên ngành</t>
  </si>
  <si>
    <t>2. Tỉ lệ giữa học phần lý thuyết và thực hành</t>
  </si>
  <si>
    <t>3. Thời lượng thực hành đủ hình thành kỹ năng</t>
  </si>
  <si>
    <t>TỔNG CỘNG</t>
  </si>
  <si>
    <t>4. Các học phần đào tạo kỹ năng mềm hữu ích</t>
  </si>
  <si>
    <t>5. Đào tạo ngoại ngữ đáp ứng yêu cầu xã hội</t>
  </si>
  <si>
    <t>III. ĐÁNH GIÁ CHẤT LƯỢNG GIẢNG DẠY &amp; NỘI DUNG CTĐT (Thang điểm 1 - 5)</t>
  </si>
  <si>
    <t>IV. ĐÁNH GIÁ CHẤT LƯỢNG CƠ SỞ VẬT CHẤT (Thang điểm 1 - 5)</t>
  </si>
  <si>
    <t>Tiêu chí đánh giá</t>
  </si>
  <si>
    <t>Điểm TB</t>
  </si>
  <si>
    <t>Nhóm cơ sở vật chất</t>
  </si>
  <si>
    <t>1. PP dạy &amp; học khuyến khích SV chủ động</t>
  </si>
  <si>
    <t>1. Phòng học / Giảng đường (9 tiêu chí)</t>
  </si>
  <si>
    <t>2. SV được tạo điều kiện NCKH</t>
  </si>
  <si>
    <t>2. Xưởng thực hành / PTN / Máy tính (6 tiêu chí)</t>
  </si>
  <si>
    <t>3. Sự phù hợp nội dung môn học với đề cương</t>
  </si>
  <si>
    <t>3. Tài liệu, tư liệu phục vụ giảng dạy &amp; NCKH (7 tiêu chí)</t>
  </si>
  <si>
    <t>4. Mức độ cập nhật thực tiễn của môn học</t>
  </si>
  <si>
    <t>5. Tính tích hợp và liên ngành của CTĐT</t>
  </si>
  <si>
    <t>V. CƠ CẤU CHƯƠNG TRÌNH ĐÀO TẠO ĐƯỢC GIẢNG VIÊN ĐÁNH GIÁ</t>
  </si>
  <si>
    <t>Chương trình đào tạo (CTĐT)</t>
  </si>
  <si>
    <t>PHÂN TÍCH CHUẨN ĐẦU RA (PLO) CỦA CÁC CHƯƠNG TRÌNH ĐÀO TẠO</t>
  </si>
  <si>
    <t>Mức độ đáp ứng/phù hợp của PLO theo đánh giá của Giảng viên (Thang điểm 1 - 5)</t>
  </si>
  <si>
    <t>Chuẩn đầu ra</t>
  </si>
  <si>
    <t>TỔNG HỢP GÓP Ý &amp; ĐỀ XUẤT CỦA GIẢNG VIÊN THEO NGÀNH</t>
  </si>
  <si>
    <t>Lọc các ý kiến đóng góp của giảng viên theo chuyên ngành được chọn ở ô Dropdown trang Bộ lọc Giảng viên</t>
  </si>
  <si>
    <t>Bằng cấp</t>
  </si>
  <si>
    <t>Học phần giảng dạy</t>
  </si>
  <si>
    <t>Góp ý/đề xuất khác</t>
  </si>
  <si>
    <t>Ý kiến khác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</si>
</sst>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mm:ss"/>
    <numFmt numFmtId="165" formatCode="0.0%"/>
  </numFmts>
  <fonts count="10" x14ac:knownFonts="1">
    <font>
      <sz val="11"/>
      <color theme="1"/>
      <name val="Calibri"/>
      <family val="2"/>
      <scheme val="minor"/>
    </font>
    <font>
      <b/>
      <sz val="16"/>
      <color rgb="FF1B365D"/>
      <name val="Segoe UI"/>
    </font>
    <font>
      <i/>
      <sz val="10"/>
      <color rgb="FF666666"/>
      <name val="Segoe UI"/>
    </font>
    <font>
      <b/>
      <sz val="10"/>
      <color rgb="FF333333"/>
      <name val="Segoe UI"/>
    </font>
    <font>
      <b/>
      <sz val="20"/>
      <color rgb="FF1B365D"/>
      <name val="Segoe UI"/>
    </font>
    <font>
      <b/>
      <sz val="9"/>
      <color rgb="FF555555"/>
      <name val="Segoe UI"/>
    </font>
    <font>
      <b/>
      <sz val="12"/>
      <color rgb="FF1B365D"/>
      <name val="Segoe UI"/>
    </font>
    <font>
      <b/>
      <sz val="10"/>
      <color rgb="FFFFFFFF"/>
      <name val="Segoe UI"/>
    </font>
    <font>
      <sz val="10"/>
      <color rgb="FF333333"/>
      <name val="Segoe UI"/>
    </font>
    <font>
      <b/>
      <sz val="9"/>
      <color theme="1"/>
      <name val="Segoe UI"/>
      <family val="2"/>
    </font>
  </fonts>
  <fills count="5">
    <fill>
      <patternFill patternType="none"/>
    </fill>
    <fill>
      <patternFill patternType="gray125"/>
    </fill>
    <fill>
      <patternFill patternType="solid">
        <fgColor rgb="FFEAEFF5"/>
        <bgColor rgb="FFEAEFF5"/>
      </patternFill>
    </fill>
    <fill>
      <patternFill patternType="solid">
        <fgColor rgb="FF1B365D"/>
        <bgColor rgb="FF1B365D"/>
      </patternFill>
    </fill>
    <fill>
      <patternFill patternType="solid">
        <fgColor rgb="FFF2F5F8"/>
        <bgColor rgb="FFF2F5F8"/>
      </patternFill>
    </fill>
  </fills>
  <borders count="3">
    <border>
      <left/>
      <right/>
      <top/>
      <bottom/>
      <diagonal/>
    </border>
    <border>
      <left style="thin">
        <color rgb="FFCCCCCC"/>
      </left>
      <right style="thin">
        <color rgb="FFCCCCCC"/>
      </right>
      <top style="thin">
        <color rgb="FFCCCCCC"/>
      </top>
      <bottom style="thin">
        <color rgb="FFCCCCCC"/>
      </bottom>
      <diagonal/>
    </border>
    <border>
      <left/>
      <right/>
      <top style="thin">
        <color rgb="FFCCCCCC"/>
      </top>
      <bottom style="double">
        <color rgb="FF1B365D"/>
      </bottom>
      <diagonal/>
    </border>
  </borders>
  <cellStyleXfs count="1">
    <xf numFmtId="0" fontId="0" fillId="0" borderId="0"/>
  </cellStyleXfs>
  <cellXfs count="38">
    <xf numFmtId="0" fontId="0" fillId="0" borderId="0" xfId="0"/>
    <xf numFmtId="164" fontId="0" fillId="0" borderId="0" xfId="0" applyNumberFormat="1"/>
    <xf numFmtId="0" fontId="1" fillId="0" borderId="0" xfId="0" applyFont="1"/>
    <xf numFmtId="0" fontId="2" fillId="0" borderId="0" xfId="0" applyFont="1"/>
    <xf numFmtId="0" fontId="3" fillId="0" borderId="0" xfId="0" applyFont="1"/>
    <xf numFmtId="0" fontId="6" fillId="0" borderId="0" xfId="0" applyFont="1"/>
    <xf numFmtId="0" fontId="7" fillId="3" borderId="0" xfId="0" applyFont="1" applyFill="1" applyAlignment="1">
      <alignment horizontal="center" vertical="center" wrapText="1"/>
    </xf>
    <xf numFmtId="0" fontId="8" fillId="0" borderId="1" xfId="0" applyFont="1" applyBorder="1" applyAlignment="1">
      <alignment horizontal="center" vertical="center" wrapText="1"/>
    </xf>
    <xf numFmtId="2" fontId="3" fillId="0" borderId="1" xfId="0" applyNumberFormat="1" applyFont="1" applyBorder="1" applyAlignment="1">
      <alignment horizontal="center" vertical="center" wrapText="1"/>
    </xf>
    <xf numFmtId="0" fontId="8" fillId="4" borderId="1" xfId="0" applyFont="1" applyFill="1" applyBorder="1" applyAlignment="1">
      <alignment horizontal="center" vertical="center" wrapText="1"/>
    </xf>
    <xf numFmtId="2" fontId="3"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7" fillId="3" borderId="0" xfId="0" applyFont="1" applyFill="1"/>
    <xf numFmtId="0" fontId="8" fillId="0" borderId="1" xfId="0" applyFont="1" applyBorder="1"/>
    <xf numFmtId="0" fontId="3" fillId="0" borderId="1" xfId="0" applyFont="1" applyBorder="1" applyAlignment="1">
      <alignment horizontal="center" vertical="center" wrapText="1"/>
    </xf>
    <xf numFmtId="165" fontId="3" fillId="0" borderId="1" xfId="0" applyNumberFormat="1" applyFont="1" applyBorder="1" applyAlignment="1">
      <alignment horizontal="center" vertical="center" wrapText="1"/>
    </xf>
    <xf numFmtId="0" fontId="8" fillId="4" borderId="1" xfId="0" applyFont="1" applyFill="1" applyBorder="1"/>
    <xf numFmtId="0" fontId="3" fillId="4" borderId="1" xfId="0" applyFont="1" applyFill="1" applyBorder="1" applyAlignment="1">
      <alignment horizontal="center" vertical="center" wrapText="1"/>
    </xf>
    <xf numFmtId="165" fontId="3" fillId="4" borderId="1" xfId="0" applyNumberFormat="1" applyFont="1" applyFill="1" applyBorder="1" applyAlignment="1">
      <alignment horizontal="center" vertical="center" wrapText="1"/>
    </xf>
    <xf numFmtId="0" fontId="3" fillId="0" borderId="2" xfId="0" applyFont="1" applyBorder="1"/>
    <xf numFmtId="0" fontId="3" fillId="0" borderId="2" xfId="0" applyFont="1" applyBorder="1" applyAlignment="1">
      <alignment horizontal="center" vertical="center" wrapText="1"/>
    </xf>
    <xf numFmtId="165" fontId="3" fillId="0" borderId="2" xfId="0" applyNumberFormat="1" applyFont="1" applyBorder="1" applyAlignment="1">
      <alignment horizontal="center" vertical="center" wrapText="1"/>
    </xf>
    <xf numFmtId="2" fontId="8" fillId="0" borderId="1" xfId="0" applyNumberFormat="1" applyFont="1" applyBorder="1" applyAlignment="1">
      <alignment horizontal="center" vertical="center" wrapText="1"/>
    </xf>
    <xf numFmtId="2" fontId="8" fillId="4" borderId="1" xfId="0" applyNumberFormat="1" applyFont="1" applyFill="1" applyBorder="1" applyAlignment="1">
      <alignment horizontal="center" vertical="center" wrapText="1"/>
    </xf>
    <xf numFmtId="0" fontId="8" fillId="0" borderId="1" xfId="0" applyFont="1" applyBorder="1" applyAlignment="1">
      <alignment horizontal="left" vertical="center" wrapText="1"/>
    </xf>
    <xf numFmtId="0" fontId="8" fillId="4" borderId="1" xfId="0" applyFont="1" applyFill="1" applyBorder="1" applyAlignment="1">
      <alignment horizontal="left" vertical="center" wrapText="1"/>
    </xf>
    <xf numFmtId="0" fontId="0" fillId="0" borderId="0" xfId="0" applyAlignment="1">
      <alignment horizontal="left" vertical="top" wrapText="1"/>
    </xf>
    <xf numFmtId="0" fontId="0" fillId="0" borderId="0" xfId="0"/>
    <xf numFmtId="0" fontId="0" fillId="0" borderId="0" xfId="0" applyAlignment="1">
      <alignment horizontal="left" vertical="center" wrapText="1"/>
    </xf>
    <xf numFmtId="2" fontId="4" fillId="2" borderId="1" xfId="0" applyNumberFormat="1" applyFont="1" applyFill="1" applyBorder="1" applyAlignment="1">
      <alignment horizontal="center" vertical="center" wrapText="1"/>
    </xf>
    <xf numFmtId="0" fontId="0" fillId="0" borderId="1" xfId="0" applyBorder="1"/>
    <xf numFmtId="1" fontId="4" fillId="2" borderId="1" xfId="0" applyNumberFormat="1" applyFont="1" applyFill="1" applyBorder="1" applyAlignment="1">
      <alignment horizontal="center" vertical="center" wrapText="1"/>
    </xf>
    <xf numFmtId="0" fontId="5" fillId="2" borderId="1" xfId="0" applyFont="1" applyFill="1" applyBorder="1" applyAlignment="1">
      <alignment horizontal="center" vertical="center" wrapText="1"/>
    </xf>
    <xf numFmtId="2" fontId="3" fillId="0" borderId="1" xfId="0" applyNumberFormat="1" applyFont="1" applyBorder="1" applyAlignment="1">
      <alignment horizontal="center" vertical="center" wrapText="1"/>
    </xf>
    <xf numFmtId="2" fontId="3" fillId="4" borderId="1" xfId="0" applyNumberFormat="1" applyFont="1" applyFill="1" applyBorder="1" applyAlignment="1">
      <alignment horizontal="center" vertical="center" wrapText="1"/>
    </xf>
    <xf numFmtId="0" fontId="0" fillId="4" borderId="1" xfId="0" applyFill="1" applyBorder="1"/>
    <xf numFmtId="0" fontId="7" fillId="3" borderId="0" xfId="0" applyFont="1" applyFill="1" applyAlignment="1">
      <alignment horizontal="center" vertical="center" wrapText="1"/>
    </xf>
    <xf numFmtId="165" fontId="4" fillId="2" borderId="1" xfId="0" applyNumberFormat="1" applyFont="1" applyFill="1" applyBorder="1" applyAlignment="1">
      <alignment horizontal="center" vertical="center" wrapText="1"/>
    </xf>
  </cellXfs>
  <cellStyles count="1">
    <cellStyle name="Normal" xfId="0" builtinId="0"/>
  </cellStyles>
  <dxfs count="120">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4</xdr:row>
          <xdr:rowOff>63500</xdr:rowOff>
        </xdr:from>
        <xdr:to>
          <xdr:col>13</xdr:col>
          <xdr:colOff>6350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22A3CE0D-2CA8-F0B4-69BC-9CB23CE1E12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900" b="1" i="0" u="none" strike="noStrike" baseline="0">
                  <a:solidFill>
                    <a:srgbClr val="000000"/>
                  </a:solidFill>
                  <a:latin typeface="Segoe UI"/>
                  <a:cs typeface="Segoe UI"/>
                </a:rPr>
                <a:t>ĐỒNG BỘ DỮ LIỆU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66"/>
  <sheetViews>
    <sheetView tabSelected="1" workbookViewId="0"/>
  </sheetViews>
  <sheetFormatPr defaultRowHeight="14.5" x14ac:dyDescent="0.35"/>
  <sheetData>
    <row r="1" spans="1:62"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row>
    <row r="2" spans="1:62" x14ac:dyDescent="0.35">
      <c r="A2" t="str">
        <f>IF(H2='Bộ lọc Giảng viên'!$C$5, MAX($A$1:A1)+1, "")</f>
        <v/>
      </c>
      <c r="B2" s="1">
        <v>46043.369925497682</v>
      </c>
      <c r="C2" t="s">
        <v>62</v>
      </c>
      <c r="D2" t="s">
        <v>63</v>
      </c>
      <c r="E2" t="s">
        <v>64</v>
      </c>
      <c r="F2" t="s">
        <v>65</v>
      </c>
      <c r="G2" t="s">
        <v>66</v>
      </c>
      <c r="H2" t="s">
        <v>67</v>
      </c>
      <c r="I2">
        <v>4</v>
      </c>
      <c r="J2">
        <v>4</v>
      </c>
      <c r="K2">
        <v>5</v>
      </c>
      <c r="L2">
        <v>5</v>
      </c>
      <c r="M2">
        <v>5</v>
      </c>
      <c r="N2">
        <v>5</v>
      </c>
      <c r="O2">
        <v>5</v>
      </c>
      <c r="P2">
        <v>5</v>
      </c>
      <c r="Q2">
        <v>5</v>
      </c>
      <c r="R2">
        <v>5</v>
      </c>
      <c r="S2">
        <v>5</v>
      </c>
      <c r="T2">
        <v>5</v>
      </c>
      <c r="V2" t="s">
        <v>68</v>
      </c>
      <c r="W2" t="s">
        <v>68</v>
      </c>
      <c r="X2" t="s">
        <v>68</v>
      </c>
      <c r="Y2" t="s">
        <v>68</v>
      </c>
      <c r="Z2" t="s">
        <v>68</v>
      </c>
      <c r="AC2" t="s">
        <v>69</v>
      </c>
      <c r="AD2">
        <v>5</v>
      </c>
      <c r="AE2">
        <v>5</v>
      </c>
      <c r="AF2">
        <v>5</v>
      </c>
      <c r="AG2">
        <v>4</v>
      </c>
      <c r="AH2">
        <v>4</v>
      </c>
      <c r="AI2" t="s">
        <v>70</v>
      </c>
      <c r="AJ2" t="s">
        <v>71</v>
      </c>
      <c r="AK2">
        <v>4</v>
      </c>
      <c r="AL2">
        <v>4</v>
      </c>
      <c r="AM2">
        <v>5</v>
      </c>
      <c r="AN2">
        <v>4</v>
      </c>
      <c r="AO2">
        <v>4</v>
      </c>
      <c r="AP2">
        <v>4</v>
      </c>
      <c r="AQ2">
        <v>5</v>
      </c>
      <c r="AR2">
        <v>4</v>
      </c>
      <c r="AS2">
        <v>4</v>
      </c>
      <c r="AT2">
        <v>5</v>
      </c>
      <c r="AU2">
        <v>3</v>
      </c>
      <c r="AV2">
        <v>3</v>
      </c>
      <c r="AW2">
        <v>3</v>
      </c>
      <c r="AX2">
        <v>4</v>
      </c>
      <c r="AY2">
        <v>3</v>
      </c>
      <c r="AZ2">
        <v>4</v>
      </c>
      <c r="BA2">
        <v>4</v>
      </c>
      <c r="BB2">
        <v>4</v>
      </c>
      <c r="BC2">
        <v>3</v>
      </c>
      <c r="BD2">
        <v>3</v>
      </c>
      <c r="BE2">
        <v>4</v>
      </c>
      <c r="BF2">
        <v>3</v>
      </c>
      <c r="BG2" t="s">
        <v>70</v>
      </c>
      <c r="BI2" t="s">
        <v>72</v>
      </c>
    </row>
    <row r="3" spans="1:62" x14ac:dyDescent="0.35">
      <c r="A3">
        <f>IF(H3='Bộ lọc Giảng viên'!$C$5, MAX($A$1:A2)+1, "")</f>
        <v>1</v>
      </c>
      <c r="B3" s="1">
        <v>46043.665726412037</v>
      </c>
      <c r="C3" t="s">
        <v>62</v>
      </c>
      <c r="D3" t="s">
        <v>63</v>
      </c>
      <c r="E3" t="s">
        <v>73</v>
      </c>
      <c r="F3" t="s">
        <v>65</v>
      </c>
      <c r="G3" t="s">
        <v>66</v>
      </c>
      <c r="H3" t="s">
        <v>74</v>
      </c>
      <c r="I3">
        <v>4</v>
      </c>
      <c r="J3">
        <v>4</v>
      </c>
      <c r="K3">
        <v>5</v>
      </c>
      <c r="L3">
        <v>5</v>
      </c>
      <c r="M3">
        <v>5</v>
      </c>
      <c r="N3">
        <v>5</v>
      </c>
      <c r="O3">
        <v>5</v>
      </c>
      <c r="P3">
        <v>5</v>
      </c>
      <c r="Q3">
        <v>5</v>
      </c>
      <c r="R3">
        <v>5</v>
      </c>
      <c r="S3">
        <v>5</v>
      </c>
      <c r="T3">
        <v>5</v>
      </c>
      <c r="V3" t="s">
        <v>75</v>
      </c>
      <c r="W3" t="s">
        <v>75</v>
      </c>
      <c r="X3" t="s">
        <v>75</v>
      </c>
      <c r="Y3" t="s">
        <v>76</v>
      </c>
      <c r="Z3" t="s">
        <v>76</v>
      </c>
      <c r="AC3" t="s">
        <v>69</v>
      </c>
      <c r="AD3">
        <v>5</v>
      </c>
      <c r="AE3">
        <v>5</v>
      </c>
      <c r="AF3">
        <v>4</v>
      </c>
      <c r="AG3">
        <v>5</v>
      </c>
      <c r="AH3">
        <v>4</v>
      </c>
      <c r="AI3" t="s">
        <v>70</v>
      </c>
      <c r="AK3">
        <v>4</v>
      </c>
      <c r="AL3">
        <v>3</v>
      </c>
      <c r="AM3">
        <v>3</v>
      </c>
      <c r="AN3">
        <v>4</v>
      </c>
      <c r="AO3">
        <v>3</v>
      </c>
      <c r="AP3">
        <v>3</v>
      </c>
      <c r="AQ3">
        <v>3</v>
      </c>
      <c r="AR3">
        <v>3</v>
      </c>
      <c r="AS3">
        <v>3</v>
      </c>
      <c r="AT3">
        <v>4</v>
      </c>
      <c r="AU3">
        <v>3</v>
      </c>
      <c r="AV3">
        <v>3</v>
      </c>
      <c r="AW3">
        <v>3</v>
      </c>
      <c r="AX3">
        <v>4</v>
      </c>
      <c r="AY3">
        <v>3</v>
      </c>
      <c r="AZ3">
        <v>3</v>
      </c>
      <c r="BA3">
        <v>3</v>
      </c>
      <c r="BB3">
        <v>4</v>
      </c>
      <c r="BC3">
        <v>3</v>
      </c>
      <c r="BD3">
        <v>3</v>
      </c>
      <c r="BE3">
        <v>4</v>
      </c>
      <c r="BF3">
        <v>3</v>
      </c>
      <c r="BG3" t="s">
        <v>70</v>
      </c>
      <c r="BI3" t="s">
        <v>72</v>
      </c>
    </row>
    <row r="4" spans="1:62" x14ac:dyDescent="0.35">
      <c r="A4" t="str">
        <f>IF(H4='Bộ lọc Giảng viên'!$C$5, MAX($A$1:A3)+1, "")</f>
        <v/>
      </c>
      <c r="B4" s="1">
        <v>46043.670587789347</v>
      </c>
      <c r="C4" t="s">
        <v>62</v>
      </c>
      <c r="D4" t="s">
        <v>63</v>
      </c>
      <c r="E4" t="s">
        <v>77</v>
      </c>
      <c r="F4" t="s">
        <v>65</v>
      </c>
      <c r="G4" t="s">
        <v>66</v>
      </c>
      <c r="H4" t="s">
        <v>78</v>
      </c>
      <c r="I4">
        <v>4</v>
      </c>
      <c r="J4">
        <v>4</v>
      </c>
      <c r="K4">
        <v>5</v>
      </c>
      <c r="L4">
        <v>4</v>
      </c>
      <c r="M4">
        <v>5</v>
      </c>
      <c r="N4">
        <v>4</v>
      </c>
      <c r="O4">
        <v>4</v>
      </c>
      <c r="P4">
        <v>5</v>
      </c>
      <c r="Q4">
        <v>5</v>
      </c>
      <c r="R4">
        <v>5</v>
      </c>
      <c r="S4">
        <v>4</v>
      </c>
      <c r="T4">
        <v>4</v>
      </c>
      <c r="V4" t="s">
        <v>75</v>
      </c>
      <c r="W4" t="s">
        <v>75</v>
      </c>
      <c r="X4" t="s">
        <v>75</v>
      </c>
      <c r="Y4" t="s">
        <v>76</v>
      </c>
      <c r="Z4" t="s">
        <v>76</v>
      </c>
      <c r="AC4" t="s">
        <v>69</v>
      </c>
      <c r="AD4">
        <v>5</v>
      </c>
      <c r="AE4">
        <v>5</v>
      </c>
      <c r="AF4">
        <v>4</v>
      </c>
      <c r="AG4">
        <v>5</v>
      </c>
      <c r="AH4">
        <v>4</v>
      </c>
      <c r="AI4" t="s">
        <v>70</v>
      </c>
      <c r="AK4">
        <v>4</v>
      </c>
      <c r="AL4">
        <v>3</v>
      </c>
      <c r="AM4">
        <v>3</v>
      </c>
      <c r="AN4">
        <v>4</v>
      </c>
      <c r="AO4">
        <v>3</v>
      </c>
      <c r="AP4">
        <v>4</v>
      </c>
      <c r="AQ4">
        <v>4</v>
      </c>
      <c r="AR4">
        <v>3</v>
      </c>
      <c r="AS4">
        <v>3</v>
      </c>
      <c r="AT4">
        <v>3</v>
      </c>
      <c r="AU4">
        <v>3</v>
      </c>
      <c r="AV4">
        <v>4</v>
      </c>
      <c r="AW4">
        <v>3</v>
      </c>
      <c r="AX4">
        <v>4</v>
      </c>
      <c r="AY4">
        <v>3</v>
      </c>
      <c r="AZ4">
        <v>3</v>
      </c>
      <c r="BA4">
        <v>3</v>
      </c>
      <c r="BB4">
        <v>4</v>
      </c>
      <c r="BC4">
        <v>3</v>
      </c>
      <c r="BD4">
        <v>3</v>
      </c>
      <c r="BE4">
        <v>4</v>
      </c>
      <c r="BF4">
        <v>3</v>
      </c>
      <c r="BG4" t="s">
        <v>70</v>
      </c>
      <c r="BI4" t="s">
        <v>72</v>
      </c>
    </row>
    <row r="5" spans="1:62" x14ac:dyDescent="0.35">
      <c r="A5" t="str">
        <f>IF(H5='Bộ lọc Giảng viên'!$C$5, MAX($A$1:A4)+1, "")</f>
        <v/>
      </c>
      <c r="B5" s="1">
        <v>46100.3705171412</v>
      </c>
      <c r="C5" t="s">
        <v>79</v>
      </c>
      <c r="D5" t="s">
        <v>80</v>
      </c>
      <c r="E5" t="s">
        <v>81</v>
      </c>
      <c r="F5" t="s">
        <v>82</v>
      </c>
      <c r="G5" t="s">
        <v>83</v>
      </c>
      <c r="H5" t="s">
        <v>84</v>
      </c>
      <c r="I5">
        <v>5</v>
      </c>
      <c r="J5">
        <v>5</v>
      </c>
      <c r="K5">
        <v>5</v>
      </c>
      <c r="L5">
        <v>5</v>
      </c>
      <c r="M5">
        <v>5</v>
      </c>
      <c r="N5">
        <v>5</v>
      </c>
      <c r="O5">
        <v>5</v>
      </c>
      <c r="P5">
        <v>5</v>
      </c>
      <c r="Q5">
        <v>5</v>
      </c>
      <c r="R5">
        <v>5</v>
      </c>
      <c r="S5">
        <v>5</v>
      </c>
      <c r="T5">
        <v>5</v>
      </c>
      <c r="V5" t="s">
        <v>68</v>
      </c>
      <c r="W5" t="s">
        <v>75</v>
      </c>
      <c r="X5" t="s">
        <v>68</v>
      </c>
      <c r="Y5" t="s">
        <v>68</v>
      </c>
      <c r="Z5" t="s">
        <v>75</v>
      </c>
      <c r="AA5" t="s">
        <v>85</v>
      </c>
      <c r="AB5" t="s">
        <v>86</v>
      </c>
      <c r="AC5" t="s">
        <v>69</v>
      </c>
      <c r="AD5">
        <v>5</v>
      </c>
      <c r="AE5">
        <v>4</v>
      </c>
      <c r="AF5">
        <v>4</v>
      </c>
      <c r="AG5">
        <v>5</v>
      </c>
      <c r="AH5">
        <v>4</v>
      </c>
      <c r="AI5" t="s">
        <v>70</v>
      </c>
      <c r="AJ5" t="s">
        <v>87</v>
      </c>
      <c r="AK5">
        <v>4</v>
      </c>
      <c r="AL5">
        <v>5</v>
      </c>
      <c r="AM5">
        <v>4</v>
      </c>
      <c r="AN5">
        <v>4</v>
      </c>
      <c r="AO5">
        <v>5</v>
      </c>
      <c r="AP5">
        <v>4</v>
      </c>
      <c r="AQ5">
        <v>5</v>
      </c>
      <c r="AR5">
        <v>4</v>
      </c>
      <c r="AS5">
        <v>4</v>
      </c>
      <c r="AT5">
        <v>5</v>
      </c>
      <c r="AU5">
        <v>5</v>
      </c>
      <c r="AV5">
        <v>4</v>
      </c>
      <c r="AW5">
        <v>4</v>
      </c>
      <c r="AX5">
        <v>5</v>
      </c>
      <c r="AY5">
        <v>5</v>
      </c>
      <c r="AZ5">
        <v>4</v>
      </c>
      <c r="BA5">
        <v>4</v>
      </c>
      <c r="BB5">
        <v>5</v>
      </c>
      <c r="BC5">
        <v>4</v>
      </c>
      <c r="BD5">
        <v>4</v>
      </c>
      <c r="BE5">
        <v>5</v>
      </c>
      <c r="BF5">
        <v>5</v>
      </c>
      <c r="BG5" t="s">
        <v>88</v>
      </c>
      <c r="BH5" t="s">
        <v>89</v>
      </c>
      <c r="BI5" t="s">
        <v>72</v>
      </c>
      <c r="BJ5" t="s">
        <v>90</v>
      </c>
    </row>
    <row r="6" spans="1:62" x14ac:dyDescent="0.35">
      <c r="A6" t="str">
        <f>IF(H6='Bộ lọc Giảng viên'!$C$5, MAX($A$1:A5)+1, "")</f>
        <v/>
      </c>
      <c r="B6" s="1">
        <v>46100.408333564817</v>
      </c>
      <c r="C6" t="s">
        <v>91</v>
      </c>
      <c r="D6" t="s">
        <v>80</v>
      </c>
      <c r="E6" t="s">
        <v>92</v>
      </c>
      <c r="F6" t="s">
        <v>93</v>
      </c>
      <c r="G6" t="s">
        <v>94</v>
      </c>
      <c r="H6" t="s">
        <v>84</v>
      </c>
      <c r="I6">
        <v>4</v>
      </c>
      <c r="J6">
        <v>4</v>
      </c>
      <c r="K6">
        <v>4</v>
      </c>
      <c r="L6">
        <v>5</v>
      </c>
      <c r="M6">
        <v>5</v>
      </c>
      <c r="N6">
        <v>5</v>
      </c>
      <c r="O6">
        <v>5</v>
      </c>
      <c r="P6">
        <v>5</v>
      </c>
      <c r="Q6">
        <v>4</v>
      </c>
      <c r="R6">
        <v>4</v>
      </c>
      <c r="S6">
        <v>4</v>
      </c>
      <c r="T6">
        <v>4</v>
      </c>
      <c r="V6" t="s">
        <v>75</v>
      </c>
      <c r="W6" t="s">
        <v>75</v>
      </c>
      <c r="X6" t="s">
        <v>75</v>
      </c>
      <c r="Y6" t="s">
        <v>75</v>
      </c>
      <c r="Z6" t="s">
        <v>76</v>
      </c>
      <c r="AB6" t="s">
        <v>95</v>
      </c>
      <c r="AC6" t="s">
        <v>69</v>
      </c>
      <c r="AD6">
        <v>5</v>
      </c>
      <c r="AE6">
        <v>5</v>
      </c>
      <c r="AF6">
        <v>5</v>
      </c>
      <c r="AG6">
        <v>5</v>
      </c>
      <c r="AH6">
        <v>5</v>
      </c>
      <c r="AI6" t="s">
        <v>70</v>
      </c>
      <c r="AK6">
        <v>5</v>
      </c>
      <c r="AL6">
        <v>5</v>
      </c>
      <c r="AM6">
        <v>5</v>
      </c>
      <c r="AN6">
        <v>5</v>
      </c>
      <c r="AO6">
        <v>5</v>
      </c>
      <c r="AP6">
        <v>5</v>
      </c>
      <c r="AQ6">
        <v>5</v>
      </c>
      <c r="AR6">
        <v>5</v>
      </c>
      <c r="AS6">
        <v>5</v>
      </c>
      <c r="AT6">
        <v>5</v>
      </c>
      <c r="AU6">
        <v>5</v>
      </c>
      <c r="AV6">
        <v>4</v>
      </c>
      <c r="AW6">
        <v>5</v>
      </c>
      <c r="AX6">
        <v>5</v>
      </c>
      <c r="AY6">
        <v>5</v>
      </c>
      <c r="AZ6">
        <v>5</v>
      </c>
      <c r="BA6">
        <v>5</v>
      </c>
      <c r="BB6">
        <v>5</v>
      </c>
      <c r="BC6">
        <v>5</v>
      </c>
      <c r="BD6">
        <v>5</v>
      </c>
      <c r="BE6">
        <v>5</v>
      </c>
      <c r="BF6">
        <v>5</v>
      </c>
      <c r="BG6" t="s">
        <v>70</v>
      </c>
      <c r="BI6" t="s">
        <v>72</v>
      </c>
    </row>
    <row r="7" spans="1:62" x14ac:dyDescent="0.35">
      <c r="A7" t="str">
        <f>IF(H7='Bộ lọc Giảng viên'!$C$5, MAX($A$1:A6)+1, "")</f>
        <v/>
      </c>
      <c r="B7" s="1">
        <v>46100.509532835647</v>
      </c>
      <c r="C7" t="s">
        <v>91</v>
      </c>
      <c r="D7" t="s">
        <v>80</v>
      </c>
      <c r="E7" t="s">
        <v>92</v>
      </c>
      <c r="F7" t="s">
        <v>93</v>
      </c>
      <c r="G7" t="s">
        <v>94</v>
      </c>
      <c r="H7" t="s">
        <v>96</v>
      </c>
      <c r="I7">
        <v>4</v>
      </c>
      <c r="J7">
        <v>4</v>
      </c>
      <c r="K7">
        <v>4</v>
      </c>
      <c r="L7">
        <v>4</v>
      </c>
      <c r="M7">
        <v>4</v>
      </c>
      <c r="N7">
        <v>4</v>
      </c>
      <c r="O7">
        <v>4</v>
      </c>
      <c r="P7">
        <v>4</v>
      </c>
      <c r="Q7">
        <v>4</v>
      </c>
      <c r="R7">
        <v>4</v>
      </c>
      <c r="S7">
        <v>4</v>
      </c>
      <c r="T7">
        <v>4</v>
      </c>
      <c r="V7" t="s">
        <v>75</v>
      </c>
      <c r="W7" t="s">
        <v>75</v>
      </c>
      <c r="X7" t="s">
        <v>75</v>
      </c>
      <c r="Y7" t="s">
        <v>75</v>
      </c>
      <c r="Z7" t="s">
        <v>75</v>
      </c>
      <c r="AB7" t="s">
        <v>97</v>
      </c>
      <c r="AC7" t="s">
        <v>69</v>
      </c>
      <c r="AD7">
        <v>5</v>
      </c>
      <c r="AE7">
        <v>5</v>
      </c>
      <c r="AF7">
        <v>5</v>
      </c>
      <c r="AG7">
        <v>5</v>
      </c>
      <c r="AH7">
        <v>5</v>
      </c>
      <c r="AI7" t="s">
        <v>70</v>
      </c>
      <c r="AK7">
        <v>5</v>
      </c>
      <c r="AL7">
        <v>5</v>
      </c>
      <c r="AM7">
        <v>5</v>
      </c>
      <c r="AN7">
        <v>5</v>
      </c>
      <c r="AO7">
        <v>5</v>
      </c>
      <c r="AP7">
        <v>5</v>
      </c>
      <c r="AQ7">
        <v>5</v>
      </c>
      <c r="AR7">
        <v>5</v>
      </c>
      <c r="AS7">
        <v>5</v>
      </c>
      <c r="AT7">
        <v>5</v>
      </c>
      <c r="AU7">
        <v>5</v>
      </c>
      <c r="AV7">
        <v>4</v>
      </c>
      <c r="AW7">
        <v>5</v>
      </c>
      <c r="AX7">
        <v>5</v>
      </c>
      <c r="AY7">
        <v>5</v>
      </c>
      <c r="AZ7">
        <v>5</v>
      </c>
      <c r="BA7">
        <v>5</v>
      </c>
      <c r="BB7">
        <v>5</v>
      </c>
      <c r="BC7">
        <v>5</v>
      </c>
      <c r="BD7">
        <v>5</v>
      </c>
      <c r="BE7">
        <v>5</v>
      </c>
      <c r="BF7">
        <v>5</v>
      </c>
      <c r="BG7" t="s">
        <v>70</v>
      </c>
      <c r="BI7" t="s">
        <v>72</v>
      </c>
    </row>
    <row r="8" spans="1:62" x14ac:dyDescent="0.35">
      <c r="A8" t="str">
        <f>IF(H8='Bộ lọc Giảng viên'!$C$5, MAX($A$1:A7)+1, "")</f>
        <v/>
      </c>
      <c r="B8" s="1">
        <v>46100.568362824073</v>
      </c>
      <c r="C8" t="s">
        <v>98</v>
      </c>
      <c r="D8" t="s">
        <v>80</v>
      </c>
      <c r="E8" t="s">
        <v>99</v>
      </c>
      <c r="F8" t="s">
        <v>100</v>
      </c>
      <c r="G8" t="s">
        <v>101</v>
      </c>
      <c r="H8" t="s">
        <v>84</v>
      </c>
      <c r="I8">
        <v>5</v>
      </c>
      <c r="J8">
        <v>5</v>
      </c>
      <c r="K8">
        <v>5</v>
      </c>
      <c r="L8">
        <v>5</v>
      </c>
      <c r="M8">
        <v>5</v>
      </c>
      <c r="N8">
        <v>4</v>
      </c>
      <c r="O8">
        <v>5</v>
      </c>
      <c r="P8">
        <v>5</v>
      </c>
      <c r="Q8">
        <v>4</v>
      </c>
      <c r="R8">
        <v>5</v>
      </c>
      <c r="S8">
        <v>4</v>
      </c>
      <c r="T8">
        <v>4</v>
      </c>
      <c r="V8" t="s">
        <v>68</v>
      </c>
      <c r="W8" t="s">
        <v>68</v>
      </c>
      <c r="X8" t="s">
        <v>68</v>
      </c>
      <c r="Y8" t="s">
        <v>68</v>
      </c>
      <c r="Z8" t="s">
        <v>68</v>
      </c>
      <c r="AC8" t="s">
        <v>69</v>
      </c>
      <c r="AD8">
        <v>4</v>
      </c>
      <c r="AE8">
        <v>4</v>
      </c>
      <c r="AF8">
        <v>5</v>
      </c>
      <c r="AG8">
        <v>5</v>
      </c>
      <c r="AH8">
        <v>4</v>
      </c>
      <c r="AI8" t="s">
        <v>70</v>
      </c>
      <c r="AK8">
        <v>5</v>
      </c>
      <c r="AL8">
        <v>4</v>
      </c>
      <c r="AM8">
        <v>4</v>
      </c>
      <c r="AN8">
        <v>4</v>
      </c>
      <c r="AO8">
        <v>5</v>
      </c>
      <c r="AP8">
        <v>4</v>
      </c>
      <c r="AQ8">
        <v>4</v>
      </c>
      <c r="AR8">
        <v>4</v>
      </c>
      <c r="AS8">
        <v>4</v>
      </c>
      <c r="AT8">
        <v>5</v>
      </c>
      <c r="AU8">
        <v>4</v>
      </c>
      <c r="AV8">
        <v>5</v>
      </c>
      <c r="AW8">
        <v>4</v>
      </c>
      <c r="AX8">
        <v>4</v>
      </c>
      <c r="AY8">
        <v>4</v>
      </c>
      <c r="AZ8">
        <v>5</v>
      </c>
      <c r="BA8">
        <v>5</v>
      </c>
      <c r="BB8">
        <v>5</v>
      </c>
      <c r="BC8">
        <v>5</v>
      </c>
      <c r="BD8">
        <v>5</v>
      </c>
      <c r="BE8">
        <v>5</v>
      </c>
      <c r="BF8">
        <v>5</v>
      </c>
      <c r="BG8" t="s">
        <v>70</v>
      </c>
      <c r="BI8" t="s">
        <v>72</v>
      </c>
    </row>
    <row r="9" spans="1:62" x14ac:dyDescent="0.35">
      <c r="A9" t="str">
        <f>IF(H9='Bộ lọc Giảng viên'!$C$5, MAX($A$1:A8)+1, "")</f>
        <v/>
      </c>
      <c r="B9" s="1">
        <v>46100.649421620372</v>
      </c>
      <c r="C9" t="s">
        <v>102</v>
      </c>
      <c r="D9" t="s">
        <v>80</v>
      </c>
      <c r="E9" t="s">
        <v>103</v>
      </c>
      <c r="F9" t="s">
        <v>104</v>
      </c>
      <c r="G9" t="s">
        <v>105</v>
      </c>
      <c r="H9" t="s">
        <v>84</v>
      </c>
      <c r="I9">
        <v>5</v>
      </c>
      <c r="J9">
        <v>4</v>
      </c>
      <c r="K9">
        <v>5</v>
      </c>
      <c r="L9">
        <v>5</v>
      </c>
      <c r="M9">
        <v>5</v>
      </c>
      <c r="N9">
        <v>5</v>
      </c>
      <c r="O9">
        <v>5</v>
      </c>
      <c r="P9">
        <v>5</v>
      </c>
      <c r="Q9">
        <v>4</v>
      </c>
      <c r="R9">
        <v>5</v>
      </c>
      <c r="S9">
        <v>4</v>
      </c>
      <c r="T9">
        <v>4</v>
      </c>
      <c r="V9" t="s">
        <v>75</v>
      </c>
      <c r="W9" t="s">
        <v>75</v>
      </c>
      <c r="X9" t="s">
        <v>75</v>
      </c>
      <c r="Y9" t="s">
        <v>75</v>
      </c>
      <c r="Z9" t="s">
        <v>75</v>
      </c>
      <c r="AC9" t="s">
        <v>106</v>
      </c>
      <c r="AD9">
        <v>4</v>
      </c>
      <c r="AE9">
        <v>3</v>
      </c>
      <c r="AF9">
        <v>4</v>
      </c>
      <c r="AG9">
        <v>4</v>
      </c>
      <c r="AH9">
        <v>4</v>
      </c>
      <c r="AI9" t="s">
        <v>70</v>
      </c>
      <c r="AK9">
        <v>4</v>
      </c>
      <c r="AL9">
        <v>4</v>
      </c>
      <c r="AM9">
        <v>4</v>
      </c>
      <c r="AN9">
        <v>4</v>
      </c>
      <c r="AO9">
        <v>4</v>
      </c>
      <c r="AP9">
        <v>4</v>
      </c>
      <c r="AQ9">
        <v>4</v>
      </c>
      <c r="AR9">
        <v>4</v>
      </c>
      <c r="AS9">
        <v>4</v>
      </c>
      <c r="AT9">
        <v>5</v>
      </c>
      <c r="AU9">
        <v>4</v>
      </c>
      <c r="AV9">
        <v>3</v>
      </c>
      <c r="AW9">
        <v>3</v>
      </c>
      <c r="AX9">
        <v>4</v>
      </c>
      <c r="AY9">
        <v>3</v>
      </c>
      <c r="AZ9">
        <v>3</v>
      </c>
      <c r="BA9">
        <v>3</v>
      </c>
      <c r="BB9">
        <v>3</v>
      </c>
      <c r="BC9">
        <v>3</v>
      </c>
      <c r="BD9">
        <v>3</v>
      </c>
      <c r="BE9">
        <v>3</v>
      </c>
      <c r="BF9">
        <v>3</v>
      </c>
      <c r="BG9" t="s">
        <v>70</v>
      </c>
      <c r="BI9" t="s">
        <v>107</v>
      </c>
    </row>
    <row r="10" spans="1:62" x14ac:dyDescent="0.35">
      <c r="A10" t="str">
        <f>IF(H10='Bộ lọc Giảng viên'!$C$5, MAX($A$1:A9)+1, "")</f>
        <v/>
      </c>
      <c r="B10" s="1">
        <v>46101.017279513893</v>
      </c>
      <c r="C10" t="s">
        <v>108</v>
      </c>
      <c r="D10" t="s">
        <v>80</v>
      </c>
      <c r="E10" t="s">
        <v>109</v>
      </c>
      <c r="G10" t="s">
        <v>110</v>
      </c>
      <c r="H10" t="s">
        <v>84</v>
      </c>
      <c r="I10">
        <v>4</v>
      </c>
      <c r="J10">
        <v>4</v>
      </c>
      <c r="K10">
        <v>4</v>
      </c>
      <c r="L10">
        <v>4</v>
      </c>
      <c r="M10">
        <v>4</v>
      </c>
      <c r="N10">
        <v>5</v>
      </c>
      <c r="O10">
        <v>5</v>
      </c>
      <c r="P10">
        <v>5</v>
      </c>
      <c r="Q10">
        <v>5</v>
      </c>
      <c r="R10">
        <v>4</v>
      </c>
      <c r="S10">
        <v>4</v>
      </c>
      <c r="T10">
        <v>5</v>
      </c>
      <c r="V10" t="s">
        <v>75</v>
      </c>
      <c r="W10" t="s">
        <v>75</v>
      </c>
      <c r="X10" t="s">
        <v>68</v>
      </c>
      <c r="Y10" t="s">
        <v>75</v>
      </c>
      <c r="Z10" t="s">
        <v>68</v>
      </c>
      <c r="AC10" t="s">
        <v>111</v>
      </c>
      <c r="AD10">
        <v>4</v>
      </c>
      <c r="AE10">
        <v>4</v>
      </c>
      <c r="AF10">
        <v>5</v>
      </c>
      <c r="AG10">
        <v>4</v>
      </c>
      <c r="AH10">
        <v>5</v>
      </c>
      <c r="AI10" t="s">
        <v>70</v>
      </c>
      <c r="AK10">
        <v>5</v>
      </c>
      <c r="AL10">
        <v>4</v>
      </c>
      <c r="AM10">
        <v>4</v>
      </c>
      <c r="AN10">
        <v>4</v>
      </c>
      <c r="AO10">
        <v>4</v>
      </c>
      <c r="AP10">
        <v>5</v>
      </c>
      <c r="AQ10">
        <v>4</v>
      </c>
      <c r="AR10">
        <v>5</v>
      </c>
      <c r="AS10">
        <v>5</v>
      </c>
      <c r="AT10">
        <v>5</v>
      </c>
      <c r="AU10">
        <v>5</v>
      </c>
      <c r="AV10">
        <v>4</v>
      </c>
      <c r="AW10">
        <v>5</v>
      </c>
      <c r="AX10">
        <v>4</v>
      </c>
      <c r="AY10">
        <v>4</v>
      </c>
      <c r="AZ10">
        <v>4</v>
      </c>
      <c r="BA10">
        <v>4</v>
      </c>
      <c r="BB10">
        <v>5</v>
      </c>
      <c r="BC10">
        <v>5</v>
      </c>
      <c r="BD10">
        <v>4</v>
      </c>
      <c r="BE10">
        <v>4</v>
      </c>
      <c r="BF10">
        <v>5</v>
      </c>
      <c r="BG10" t="s">
        <v>70</v>
      </c>
      <c r="BI10" t="s">
        <v>107</v>
      </c>
    </row>
    <row r="11" spans="1:62" x14ac:dyDescent="0.35">
      <c r="A11" t="str">
        <f>IF(H11='Bộ lọc Giảng viên'!$C$5, MAX($A$1:A10)+1, "")</f>
        <v/>
      </c>
      <c r="B11" s="1">
        <v>46103.405220624998</v>
      </c>
      <c r="C11" t="s">
        <v>112</v>
      </c>
      <c r="D11" t="s">
        <v>113</v>
      </c>
      <c r="E11" t="s">
        <v>114</v>
      </c>
      <c r="F11" t="s">
        <v>115</v>
      </c>
      <c r="G11" t="s">
        <v>116</v>
      </c>
      <c r="H11" t="s">
        <v>96</v>
      </c>
      <c r="I11">
        <v>4</v>
      </c>
      <c r="J11">
        <v>4</v>
      </c>
      <c r="K11">
        <v>4</v>
      </c>
      <c r="L11">
        <v>4</v>
      </c>
      <c r="M11">
        <v>4</v>
      </c>
      <c r="N11">
        <v>5</v>
      </c>
      <c r="O11">
        <v>5</v>
      </c>
      <c r="P11">
        <v>5</v>
      </c>
      <c r="Q11">
        <v>5</v>
      </c>
      <c r="R11">
        <v>5</v>
      </c>
      <c r="S11">
        <v>5</v>
      </c>
      <c r="T11">
        <v>5</v>
      </c>
      <c r="V11" t="s">
        <v>68</v>
      </c>
      <c r="W11" t="s">
        <v>68</v>
      </c>
      <c r="X11" t="s">
        <v>68</v>
      </c>
      <c r="Y11" t="s">
        <v>68</v>
      </c>
      <c r="Z11" t="s">
        <v>68</v>
      </c>
      <c r="AC11" t="s">
        <v>69</v>
      </c>
      <c r="AD11">
        <v>5</v>
      </c>
      <c r="AE11">
        <v>5</v>
      </c>
      <c r="AF11">
        <v>5</v>
      </c>
      <c r="AG11">
        <v>5</v>
      </c>
      <c r="AH11">
        <v>5</v>
      </c>
      <c r="AI11" t="s">
        <v>88</v>
      </c>
      <c r="AK11">
        <v>5</v>
      </c>
      <c r="AL11">
        <v>5</v>
      </c>
      <c r="AM11">
        <v>5</v>
      </c>
      <c r="AN11">
        <v>5</v>
      </c>
      <c r="AO11">
        <v>5</v>
      </c>
      <c r="AP11">
        <v>5</v>
      </c>
      <c r="AQ11">
        <v>5</v>
      </c>
      <c r="AR11">
        <v>5</v>
      </c>
      <c r="AS11">
        <v>5</v>
      </c>
      <c r="AT11">
        <v>5</v>
      </c>
      <c r="AU11">
        <v>5</v>
      </c>
      <c r="AV11">
        <v>3</v>
      </c>
      <c r="AW11">
        <v>3</v>
      </c>
      <c r="AX11">
        <v>4</v>
      </c>
      <c r="AY11">
        <v>4</v>
      </c>
      <c r="AZ11">
        <v>5</v>
      </c>
      <c r="BA11">
        <v>5</v>
      </c>
      <c r="BB11">
        <v>5</v>
      </c>
      <c r="BC11">
        <v>5</v>
      </c>
      <c r="BD11">
        <v>5</v>
      </c>
      <c r="BE11">
        <v>5</v>
      </c>
      <c r="BF11">
        <v>5</v>
      </c>
      <c r="BG11" t="s">
        <v>88</v>
      </c>
      <c r="BI11" t="s">
        <v>72</v>
      </c>
    </row>
    <row r="12" spans="1:62" x14ac:dyDescent="0.35">
      <c r="A12" t="str">
        <f>IF(H12='Bộ lọc Giảng viên'!$C$5, MAX($A$1:A11)+1, "")</f>
        <v/>
      </c>
      <c r="B12" s="1">
        <v>46103.406473356481</v>
      </c>
      <c r="C12" t="s">
        <v>112</v>
      </c>
      <c r="D12" t="s">
        <v>113</v>
      </c>
      <c r="E12" t="s">
        <v>114</v>
      </c>
      <c r="F12" t="s">
        <v>115</v>
      </c>
      <c r="G12" t="s">
        <v>116</v>
      </c>
      <c r="H12" t="s">
        <v>84</v>
      </c>
      <c r="I12">
        <v>5</v>
      </c>
      <c r="J12">
        <v>5</v>
      </c>
      <c r="K12">
        <v>5</v>
      </c>
      <c r="L12">
        <v>5</v>
      </c>
      <c r="M12">
        <v>5</v>
      </c>
      <c r="N12">
        <v>5</v>
      </c>
      <c r="O12">
        <v>5</v>
      </c>
      <c r="P12">
        <v>5</v>
      </c>
      <c r="Q12">
        <v>5</v>
      </c>
      <c r="R12">
        <v>5</v>
      </c>
      <c r="S12">
        <v>5</v>
      </c>
      <c r="T12">
        <v>5</v>
      </c>
      <c r="V12" t="s">
        <v>68</v>
      </c>
      <c r="W12" t="s">
        <v>68</v>
      </c>
      <c r="X12" t="s">
        <v>68</v>
      </c>
      <c r="Y12" t="s">
        <v>68</v>
      </c>
      <c r="Z12" t="s">
        <v>68</v>
      </c>
      <c r="AC12" t="s">
        <v>111</v>
      </c>
      <c r="AD12">
        <v>5</v>
      </c>
      <c r="AE12">
        <v>5</v>
      </c>
      <c r="AF12">
        <v>5</v>
      </c>
      <c r="AG12">
        <v>5</v>
      </c>
      <c r="AH12">
        <v>5</v>
      </c>
      <c r="AI12" t="s">
        <v>88</v>
      </c>
      <c r="AK12">
        <v>5</v>
      </c>
      <c r="AL12">
        <v>5</v>
      </c>
      <c r="AM12">
        <v>5</v>
      </c>
      <c r="AN12">
        <v>5</v>
      </c>
      <c r="AO12">
        <v>5</v>
      </c>
      <c r="AP12">
        <v>5</v>
      </c>
      <c r="AQ12">
        <v>5</v>
      </c>
      <c r="AR12">
        <v>5</v>
      </c>
      <c r="AS12">
        <v>5</v>
      </c>
      <c r="AT12">
        <v>5</v>
      </c>
      <c r="AU12">
        <v>5</v>
      </c>
      <c r="AV12">
        <v>4</v>
      </c>
      <c r="AW12">
        <v>4</v>
      </c>
      <c r="AX12">
        <v>5</v>
      </c>
      <c r="AY12">
        <v>5</v>
      </c>
      <c r="AZ12">
        <v>5</v>
      </c>
      <c r="BA12">
        <v>5</v>
      </c>
      <c r="BB12">
        <v>5</v>
      </c>
      <c r="BC12">
        <v>5</v>
      </c>
      <c r="BD12">
        <v>5</v>
      </c>
      <c r="BE12">
        <v>5</v>
      </c>
      <c r="BF12">
        <v>5</v>
      </c>
      <c r="BG12" t="s">
        <v>88</v>
      </c>
      <c r="BI12" t="s">
        <v>72</v>
      </c>
    </row>
    <row r="13" spans="1:62" x14ac:dyDescent="0.35">
      <c r="A13" t="str">
        <f>IF(H13='Bộ lọc Giảng viên'!$C$5, MAX($A$1:A12)+1, "")</f>
        <v/>
      </c>
      <c r="B13" s="1">
        <v>46106.467602800927</v>
      </c>
      <c r="C13" t="s">
        <v>117</v>
      </c>
      <c r="D13" t="s">
        <v>80</v>
      </c>
      <c r="E13" t="s">
        <v>118</v>
      </c>
      <c r="F13" t="s">
        <v>119</v>
      </c>
      <c r="G13" t="s">
        <v>120</v>
      </c>
      <c r="H13" t="s">
        <v>84</v>
      </c>
      <c r="I13">
        <v>5</v>
      </c>
      <c r="J13">
        <v>4</v>
      </c>
      <c r="K13">
        <v>5</v>
      </c>
      <c r="L13">
        <v>5</v>
      </c>
      <c r="M13">
        <v>5</v>
      </c>
      <c r="N13">
        <v>4</v>
      </c>
      <c r="O13">
        <v>5</v>
      </c>
      <c r="P13">
        <v>5</v>
      </c>
      <c r="Q13">
        <v>5</v>
      </c>
      <c r="R13">
        <v>5</v>
      </c>
      <c r="S13">
        <v>4</v>
      </c>
      <c r="T13">
        <v>3</v>
      </c>
      <c r="V13" t="s">
        <v>75</v>
      </c>
      <c r="W13" t="s">
        <v>75</v>
      </c>
      <c r="X13" t="s">
        <v>75</v>
      </c>
      <c r="Y13" t="s">
        <v>76</v>
      </c>
      <c r="Z13" t="s">
        <v>76</v>
      </c>
      <c r="AB13" t="s">
        <v>121</v>
      </c>
      <c r="AC13" t="s">
        <v>111</v>
      </c>
      <c r="AD13">
        <v>4</v>
      </c>
      <c r="AE13">
        <v>3</v>
      </c>
      <c r="AF13">
        <v>3</v>
      </c>
      <c r="AG13">
        <v>4</v>
      </c>
      <c r="AH13">
        <v>3</v>
      </c>
      <c r="AI13" t="s">
        <v>70</v>
      </c>
      <c r="AK13">
        <v>4</v>
      </c>
      <c r="AL13">
        <v>4</v>
      </c>
      <c r="AM13">
        <v>5</v>
      </c>
      <c r="AN13">
        <v>3</v>
      </c>
      <c r="AO13">
        <v>3</v>
      </c>
      <c r="AP13">
        <v>4</v>
      </c>
      <c r="AQ13">
        <v>4</v>
      </c>
      <c r="AR13">
        <v>3</v>
      </c>
      <c r="AS13">
        <v>4</v>
      </c>
      <c r="AT13">
        <v>4</v>
      </c>
      <c r="AU13">
        <v>3</v>
      </c>
      <c r="AV13">
        <v>4</v>
      </c>
      <c r="AW13">
        <v>4</v>
      </c>
      <c r="AX13">
        <v>4</v>
      </c>
      <c r="AY13">
        <v>4</v>
      </c>
      <c r="AZ13">
        <v>4</v>
      </c>
      <c r="BA13">
        <v>3</v>
      </c>
      <c r="BB13">
        <v>4</v>
      </c>
      <c r="BC13">
        <v>3</v>
      </c>
      <c r="BD13">
        <v>3</v>
      </c>
      <c r="BE13">
        <v>4</v>
      </c>
      <c r="BF13">
        <v>3</v>
      </c>
      <c r="BG13" t="s">
        <v>70</v>
      </c>
      <c r="BI13" t="s">
        <v>107</v>
      </c>
    </row>
    <row r="14" spans="1:62" x14ac:dyDescent="0.35">
      <c r="A14" t="str">
        <f>IF(H14='Bộ lọc Giảng viên'!$C$5, MAX($A$1:A13)+1, "")</f>
        <v/>
      </c>
      <c r="B14" s="1">
        <v>46106.469151666657</v>
      </c>
      <c r="C14" t="s">
        <v>122</v>
      </c>
      <c r="D14" t="s">
        <v>80</v>
      </c>
      <c r="E14" t="s">
        <v>123</v>
      </c>
      <c r="F14" t="s">
        <v>124</v>
      </c>
      <c r="G14" t="s">
        <v>125</v>
      </c>
      <c r="H14" t="s">
        <v>96</v>
      </c>
      <c r="I14">
        <v>5</v>
      </c>
      <c r="J14">
        <v>5</v>
      </c>
      <c r="K14">
        <v>5</v>
      </c>
      <c r="L14">
        <v>5</v>
      </c>
      <c r="M14">
        <v>5</v>
      </c>
      <c r="N14">
        <v>5</v>
      </c>
      <c r="O14">
        <v>5</v>
      </c>
      <c r="P14">
        <v>5</v>
      </c>
      <c r="Q14">
        <v>5</v>
      </c>
      <c r="R14">
        <v>4</v>
      </c>
      <c r="S14">
        <v>5</v>
      </c>
      <c r="T14">
        <v>5</v>
      </c>
      <c r="V14" t="s">
        <v>68</v>
      </c>
      <c r="W14" t="s">
        <v>68</v>
      </c>
      <c r="X14" t="s">
        <v>68</v>
      </c>
      <c r="Y14" t="s">
        <v>68</v>
      </c>
      <c r="Z14" t="s">
        <v>68</v>
      </c>
      <c r="AC14" t="s">
        <v>69</v>
      </c>
      <c r="AD14">
        <v>5</v>
      </c>
      <c r="AE14">
        <v>5</v>
      </c>
      <c r="AF14">
        <v>5</v>
      </c>
      <c r="AG14">
        <v>5</v>
      </c>
      <c r="AH14">
        <v>5</v>
      </c>
      <c r="AI14" t="s">
        <v>88</v>
      </c>
      <c r="AK14">
        <v>5</v>
      </c>
      <c r="AL14">
        <v>5</v>
      </c>
      <c r="AM14">
        <v>5</v>
      </c>
      <c r="AN14">
        <v>5</v>
      </c>
      <c r="AO14">
        <v>5</v>
      </c>
      <c r="AP14">
        <v>5</v>
      </c>
      <c r="AQ14">
        <v>5</v>
      </c>
      <c r="AR14">
        <v>5</v>
      </c>
      <c r="AS14">
        <v>5</v>
      </c>
      <c r="AT14">
        <v>5</v>
      </c>
      <c r="AU14">
        <v>5</v>
      </c>
      <c r="AV14">
        <v>5</v>
      </c>
      <c r="AW14">
        <v>5</v>
      </c>
      <c r="AX14">
        <v>5</v>
      </c>
      <c r="AY14">
        <v>5</v>
      </c>
      <c r="AZ14">
        <v>5</v>
      </c>
      <c r="BA14">
        <v>5</v>
      </c>
      <c r="BB14">
        <v>5</v>
      </c>
      <c r="BC14">
        <v>5</v>
      </c>
      <c r="BD14">
        <v>5</v>
      </c>
      <c r="BE14">
        <v>5</v>
      </c>
      <c r="BF14">
        <v>5</v>
      </c>
      <c r="BG14" t="s">
        <v>88</v>
      </c>
      <c r="BI14" t="s">
        <v>107</v>
      </c>
    </row>
    <row r="15" spans="1:62" x14ac:dyDescent="0.35">
      <c r="A15" t="str">
        <f>IF(H15='Bộ lọc Giảng viên'!$C$5, MAX($A$1:A14)+1, "")</f>
        <v/>
      </c>
      <c r="B15" s="1">
        <v>46106.669180497687</v>
      </c>
      <c r="C15" t="s">
        <v>102</v>
      </c>
      <c r="D15" t="s">
        <v>80</v>
      </c>
      <c r="E15" t="s">
        <v>126</v>
      </c>
      <c r="F15" t="s">
        <v>104</v>
      </c>
      <c r="G15" t="s">
        <v>105</v>
      </c>
      <c r="H15" t="s">
        <v>96</v>
      </c>
      <c r="I15">
        <v>4</v>
      </c>
      <c r="J15">
        <v>4</v>
      </c>
      <c r="K15">
        <v>4</v>
      </c>
      <c r="L15">
        <v>5</v>
      </c>
      <c r="M15">
        <v>5</v>
      </c>
      <c r="N15">
        <v>5</v>
      </c>
      <c r="O15">
        <v>5</v>
      </c>
      <c r="P15">
        <v>5</v>
      </c>
      <c r="Q15">
        <v>5</v>
      </c>
      <c r="R15">
        <v>5</v>
      </c>
      <c r="S15">
        <v>4</v>
      </c>
      <c r="T15">
        <v>4</v>
      </c>
      <c r="V15" t="s">
        <v>75</v>
      </c>
      <c r="W15" t="s">
        <v>75</v>
      </c>
      <c r="X15" t="s">
        <v>75</v>
      </c>
      <c r="Y15" t="s">
        <v>75</v>
      </c>
      <c r="Z15" t="s">
        <v>76</v>
      </c>
      <c r="AC15" t="s">
        <v>127</v>
      </c>
      <c r="AD15">
        <v>4</v>
      </c>
      <c r="AE15">
        <v>4</v>
      </c>
      <c r="AF15">
        <v>5</v>
      </c>
      <c r="AG15">
        <v>4</v>
      </c>
      <c r="AH15">
        <v>4</v>
      </c>
      <c r="AI15" t="s">
        <v>70</v>
      </c>
      <c r="AK15">
        <v>4</v>
      </c>
      <c r="AL15">
        <v>4</v>
      </c>
      <c r="AM15">
        <v>4</v>
      </c>
      <c r="AN15">
        <v>4</v>
      </c>
      <c r="AO15">
        <v>4</v>
      </c>
      <c r="AP15">
        <v>4</v>
      </c>
      <c r="AQ15">
        <v>4</v>
      </c>
      <c r="AR15">
        <v>4</v>
      </c>
      <c r="AS15">
        <v>4</v>
      </c>
      <c r="AT15">
        <v>4</v>
      </c>
      <c r="AU15">
        <v>4</v>
      </c>
      <c r="AV15">
        <v>4</v>
      </c>
      <c r="AW15">
        <v>4</v>
      </c>
      <c r="AX15">
        <v>4</v>
      </c>
      <c r="AY15">
        <v>4</v>
      </c>
      <c r="AZ15">
        <v>4</v>
      </c>
      <c r="BA15">
        <v>4</v>
      </c>
      <c r="BB15">
        <v>4</v>
      </c>
      <c r="BC15">
        <v>4</v>
      </c>
      <c r="BD15">
        <v>4</v>
      </c>
      <c r="BE15">
        <v>4</v>
      </c>
      <c r="BF15">
        <v>4</v>
      </c>
      <c r="BG15" t="s">
        <v>70</v>
      </c>
      <c r="BI15" t="s">
        <v>107</v>
      </c>
    </row>
    <row r="16" spans="1:62" x14ac:dyDescent="0.35">
      <c r="A16" t="str">
        <f>IF(H16='Bộ lọc Giảng viên'!$C$5, MAX($A$1:A15)+1, "")</f>
        <v/>
      </c>
      <c r="B16" s="1">
        <v>46106.83945378472</v>
      </c>
      <c r="C16" t="s">
        <v>128</v>
      </c>
      <c r="D16" t="s">
        <v>113</v>
      </c>
      <c r="E16" t="s">
        <v>129</v>
      </c>
      <c r="F16" t="s">
        <v>130</v>
      </c>
      <c r="G16" t="s">
        <v>131</v>
      </c>
      <c r="H16" t="s">
        <v>96</v>
      </c>
      <c r="I16">
        <v>4</v>
      </c>
      <c r="J16">
        <v>4</v>
      </c>
      <c r="K16">
        <v>5</v>
      </c>
      <c r="L16">
        <v>4</v>
      </c>
      <c r="M16">
        <v>4</v>
      </c>
      <c r="N16">
        <v>4</v>
      </c>
      <c r="O16">
        <v>4</v>
      </c>
      <c r="P16">
        <v>5</v>
      </c>
      <c r="Q16">
        <v>5</v>
      </c>
      <c r="R16">
        <v>4</v>
      </c>
      <c r="S16">
        <v>4</v>
      </c>
      <c r="T16">
        <v>4</v>
      </c>
      <c r="V16" t="s">
        <v>75</v>
      </c>
      <c r="W16" t="s">
        <v>75</v>
      </c>
      <c r="X16" t="s">
        <v>75</v>
      </c>
      <c r="Y16" t="s">
        <v>75</v>
      </c>
      <c r="Z16" t="s">
        <v>75</v>
      </c>
      <c r="AC16" t="s">
        <v>111</v>
      </c>
      <c r="AD16">
        <v>4</v>
      </c>
      <c r="AE16">
        <v>4</v>
      </c>
      <c r="AF16">
        <v>4</v>
      </c>
      <c r="AG16">
        <v>4</v>
      </c>
      <c r="AH16">
        <v>4</v>
      </c>
      <c r="AI16" t="s">
        <v>70</v>
      </c>
      <c r="AK16">
        <v>5</v>
      </c>
      <c r="AL16">
        <v>5</v>
      </c>
      <c r="AM16">
        <v>5</v>
      </c>
      <c r="AN16">
        <v>5</v>
      </c>
      <c r="AO16">
        <v>5</v>
      </c>
      <c r="AP16">
        <v>5</v>
      </c>
      <c r="AQ16">
        <v>4</v>
      </c>
      <c r="AR16">
        <v>4</v>
      </c>
      <c r="AS16">
        <v>5</v>
      </c>
      <c r="AT16">
        <v>5</v>
      </c>
      <c r="AU16">
        <v>5</v>
      </c>
      <c r="AV16">
        <v>5</v>
      </c>
      <c r="AW16">
        <v>5</v>
      </c>
      <c r="AX16">
        <v>5</v>
      </c>
      <c r="AY16">
        <v>5</v>
      </c>
      <c r="AZ16">
        <v>5</v>
      </c>
      <c r="BA16">
        <v>5</v>
      </c>
      <c r="BB16">
        <v>5</v>
      </c>
      <c r="BC16">
        <v>5</v>
      </c>
      <c r="BD16">
        <v>5</v>
      </c>
      <c r="BE16">
        <v>5</v>
      </c>
      <c r="BF16">
        <v>5</v>
      </c>
      <c r="BG16" t="s">
        <v>88</v>
      </c>
      <c r="BI16" t="s">
        <v>72</v>
      </c>
    </row>
    <row r="17" spans="1:61" x14ac:dyDescent="0.35">
      <c r="A17" t="str">
        <f>IF(H17='Bộ lọc Giảng viên'!$C$5, MAX($A$1:A16)+1, "")</f>
        <v/>
      </c>
      <c r="B17" s="1">
        <v>46106.855021469913</v>
      </c>
      <c r="C17" t="s">
        <v>132</v>
      </c>
      <c r="D17" t="s">
        <v>63</v>
      </c>
      <c r="E17" t="s">
        <v>133</v>
      </c>
      <c r="F17" t="s">
        <v>134</v>
      </c>
      <c r="H17" t="s">
        <v>96</v>
      </c>
      <c r="I17">
        <v>4</v>
      </c>
      <c r="J17">
        <v>4</v>
      </c>
      <c r="K17">
        <v>5</v>
      </c>
      <c r="L17">
        <v>4</v>
      </c>
      <c r="M17">
        <v>4</v>
      </c>
      <c r="N17">
        <v>4</v>
      </c>
      <c r="O17">
        <v>4</v>
      </c>
      <c r="P17">
        <v>4</v>
      </c>
      <c r="Q17">
        <v>4</v>
      </c>
      <c r="R17">
        <v>4</v>
      </c>
      <c r="S17">
        <v>4</v>
      </c>
      <c r="T17">
        <v>4</v>
      </c>
      <c r="V17" t="s">
        <v>68</v>
      </c>
      <c r="W17" t="s">
        <v>75</v>
      </c>
      <c r="X17" t="s">
        <v>76</v>
      </c>
      <c r="Y17" t="s">
        <v>75</v>
      </c>
      <c r="Z17" t="s">
        <v>76</v>
      </c>
      <c r="AB17" t="s">
        <v>135</v>
      </c>
      <c r="AC17" t="s">
        <v>111</v>
      </c>
      <c r="AD17">
        <v>3</v>
      </c>
      <c r="AE17">
        <v>2</v>
      </c>
      <c r="AF17">
        <v>3</v>
      </c>
      <c r="AG17">
        <v>3</v>
      </c>
      <c r="AH17">
        <v>3</v>
      </c>
      <c r="AI17" t="s">
        <v>136</v>
      </c>
      <c r="AK17">
        <v>2</v>
      </c>
      <c r="AL17">
        <v>2</v>
      </c>
      <c r="AM17">
        <v>1</v>
      </c>
      <c r="AN17">
        <v>2</v>
      </c>
      <c r="AO17">
        <v>2</v>
      </c>
      <c r="AP17">
        <v>1</v>
      </c>
      <c r="AQ17">
        <v>3</v>
      </c>
      <c r="AR17">
        <v>1</v>
      </c>
      <c r="AS17">
        <v>3</v>
      </c>
      <c r="AT17">
        <v>2</v>
      </c>
      <c r="AU17">
        <v>2</v>
      </c>
      <c r="AV17">
        <v>2</v>
      </c>
      <c r="AW17">
        <v>2</v>
      </c>
      <c r="AX17">
        <v>2</v>
      </c>
      <c r="AY17">
        <v>2</v>
      </c>
      <c r="AZ17">
        <v>3</v>
      </c>
      <c r="BA17">
        <v>3</v>
      </c>
      <c r="BB17">
        <v>3</v>
      </c>
      <c r="BC17">
        <v>3</v>
      </c>
      <c r="BD17">
        <v>3</v>
      </c>
      <c r="BE17">
        <v>3</v>
      </c>
      <c r="BF17">
        <v>3</v>
      </c>
      <c r="BG17" t="s">
        <v>136</v>
      </c>
      <c r="BI17" t="s">
        <v>137</v>
      </c>
    </row>
    <row r="18" spans="1:61" x14ac:dyDescent="0.35">
      <c r="A18" t="str">
        <f>IF(H18='Bộ lọc Giảng viên'!$C$5, MAX($A$1:A17)+1, "")</f>
        <v/>
      </c>
      <c r="B18" s="1">
        <v>46106.857944305557</v>
      </c>
      <c r="C18" t="s">
        <v>132</v>
      </c>
      <c r="D18" t="s">
        <v>63</v>
      </c>
      <c r="E18" t="s">
        <v>138</v>
      </c>
      <c r="H18" t="s">
        <v>84</v>
      </c>
      <c r="I18">
        <v>5</v>
      </c>
      <c r="J18">
        <v>5</v>
      </c>
      <c r="K18">
        <v>5</v>
      </c>
      <c r="L18">
        <v>5</v>
      </c>
      <c r="M18">
        <v>5</v>
      </c>
      <c r="N18">
        <v>5</v>
      </c>
      <c r="O18">
        <v>5</v>
      </c>
      <c r="P18">
        <v>5</v>
      </c>
      <c r="Q18">
        <v>5</v>
      </c>
      <c r="R18">
        <v>5</v>
      </c>
      <c r="S18">
        <v>4</v>
      </c>
      <c r="T18">
        <v>4</v>
      </c>
      <c r="V18" t="s">
        <v>75</v>
      </c>
      <c r="W18" t="s">
        <v>75</v>
      </c>
      <c r="X18" t="s">
        <v>75</v>
      </c>
      <c r="Y18" t="s">
        <v>75</v>
      </c>
      <c r="Z18" t="s">
        <v>75</v>
      </c>
      <c r="AB18" t="s">
        <v>139</v>
      </c>
      <c r="AC18" t="s">
        <v>111</v>
      </c>
      <c r="AD18">
        <v>4</v>
      </c>
      <c r="AE18">
        <v>4</v>
      </c>
      <c r="AF18">
        <v>4</v>
      </c>
      <c r="AG18">
        <v>4</v>
      </c>
      <c r="AH18">
        <v>4</v>
      </c>
      <c r="AI18" t="s">
        <v>136</v>
      </c>
      <c r="AK18">
        <v>2</v>
      </c>
      <c r="AL18">
        <v>2</v>
      </c>
      <c r="AM18">
        <v>2</v>
      </c>
      <c r="AN18">
        <v>2</v>
      </c>
      <c r="AO18">
        <v>2</v>
      </c>
      <c r="AP18">
        <v>2</v>
      </c>
      <c r="AQ18">
        <v>2</v>
      </c>
      <c r="AR18">
        <v>2</v>
      </c>
      <c r="AS18">
        <v>2</v>
      </c>
      <c r="AT18">
        <v>2</v>
      </c>
      <c r="AU18">
        <v>2</v>
      </c>
      <c r="AV18">
        <v>2</v>
      </c>
      <c r="AW18">
        <v>2</v>
      </c>
      <c r="AX18">
        <v>2</v>
      </c>
      <c r="AY18">
        <v>2</v>
      </c>
      <c r="AZ18">
        <v>3</v>
      </c>
      <c r="BA18">
        <v>3</v>
      </c>
      <c r="BB18">
        <v>3</v>
      </c>
      <c r="BC18">
        <v>3</v>
      </c>
      <c r="BD18">
        <v>3</v>
      </c>
      <c r="BE18">
        <v>3</v>
      </c>
      <c r="BF18">
        <v>3</v>
      </c>
      <c r="BG18" t="s">
        <v>136</v>
      </c>
      <c r="BI18" t="s">
        <v>137</v>
      </c>
    </row>
    <row r="19" spans="1:61" x14ac:dyDescent="0.35">
      <c r="A19" t="str">
        <f>IF(H19='Bộ lọc Giảng viên'!$C$5, MAX($A$1:A18)+1, "")</f>
        <v/>
      </c>
      <c r="B19" s="1">
        <v>46107.690499687502</v>
      </c>
      <c r="C19" t="s">
        <v>140</v>
      </c>
      <c r="D19" t="s">
        <v>63</v>
      </c>
      <c r="E19" t="s">
        <v>141</v>
      </c>
      <c r="G19" t="s">
        <v>142</v>
      </c>
      <c r="H19" t="s">
        <v>96</v>
      </c>
      <c r="I19">
        <v>4</v>
      </c>
      <c r="J19">
        <v>5</v>
      </c>
      <c r="K19">
        <v>5</v>
      </c>
      <c r="L19">
        <v>5</v>
      </c>
      <c r="M19">
        <v>5</v>
      </c>
      <c r="N19">
        <v>5</v>
      </c>
      <c r="O19">
        <v>5</v>
      </c>
      <c r="P19">
        <v>5</v>
      </c>
      <c r="Q19">
        <v>5</v>
      </c>
      <c r="R19">
        <v>5</v>
      </c>
      <c r="S19">
        <v>5</v>
      </c>
      <c r="T19">
        <v>5</v>
      </c>
      <c r="V19" t="s">
        <v>68</v>
      </c>
      <c r="W19" t="s">
        <v>68</v>
      </c>
      <c r="X19" t="s">
        <v>75</v>
      </c>
      <c r="Y19" t="s">
        <v>75</v>
      </c>
      <c r="Z19" t="s">
        <v>68</v>
      </c>
      <c r="AC19" t="s">
        <v>69</v>
      </c>
      <c r="AD19">
        <v>5</v>
      </c>
      <c r="AE19">
        <v>4</v>
      </c>
      <c r="AF19">
        <v>5</v>
      </c>
      <c r="AG19">
        <v>4</v>
      </c>
      <c r="AH19">
        <v>5</v>
      </c>
      <c r="AI19" t="s">
        <v>70</v>
      </c>
      <c r="AK19">
        <v>4</v>
      </c>
      <c r="AL19">
        <v>4</v>
      </c>
      <c r="AM19">
        <v>5</v>
      </c>
      <c r="AN19">
        <v>4</v>
      </c>
      <c r="AO19">
        <v>4</v>
      </c>
      <c r="AP19">
        <v>4</v>
      </c>
      <c r="AQ19">
        <v>4</v>
      </c>
      <c r="AR19">
        <v>4</v>
      </c>
      <c r="AS19">
        <v>4</v>
      </c>
      <c r="AT19">
        <v>4</v>
      </c>
      <c r="AU19">
        <v>4</v>
      </c>
      <c r="AV19">
        <v>4</v>
      </c>
      <c r="AW19">
        <v>4</v>
      </c>
      <c r="AX19">
        <v>4</v>
      </c>
      <c r="AY19">
        <v>4</v>
      </c>
      <c r="AZ19">
        <v>4</v>
      </c>
      <c r="BA19">
        <v>4</v>
      </c>
      <c r="BB19">
        <v>4</v>
      </c>
      <c r="BC19">
        <v>4</v>
      </c>
      <c r="BD19">
        <v>4</v>
      </c>
      <c r="BE19">
        <v>4</v>
      </c>
      <c r="BF19">
        <v>4</v>
      </c>
      <c r="BG19" t="s">
        <v>70</v>
      </c>
      <c r="BI19" t="s">
        <v>107</v>
      </c>
    </row>
    <row r="20" spans="1:61" x14ac:dyDescent="0.35">
      <c r="A20" t="str">
        <f>IF(H20='Bộ lọc Giảng viên'!$C$5, MAX($A$1:A19)+1, "")</f>
        <v/>
      </c>
      <c r="B20" s="1">
        <v>46107.692536840281</v>
      </c>
      <c r="C20" t="s">
        <v>140</v>
      </c>
      <c r="D20" t="s">
        <v>63</v>
      </c>
      <c r="E20" t="s">
        <v>143</v>
      </c>
      <c r="G20" t="s">
        <v>142</v>
      </c>
      <c r="H20" t="s">
        <v>84</v>
      </c>
      <c r="I20">
        <v>4</v>
      </c>
      <c r="J20">
        <v>5</v>
      </c>
      <c r="K20">
        <v>5</v>
      </c>
      <c r="L20">
        <v>4</v>
      </c>
      <c r="M20">
        <v>5</v>
      </c>
      <c r="N20">
        <v>5</v>
      </c>
      <c r="O20">
        <v>5</v>
      </c>
      <c r="P20">
        <v>4</v>
      </c>
      <c r="Q20">
        <v>5</v>
      </c>
      <c r="R20">
        <v>5</v>
      </c>
      <c r="S20">
        <v>5</v>
      </c>
      <c r="T20">
        <v>5</v>
      </c>
      <c r="V20" t="s">
        <v>68</v>
      </c>
      <c r="W20" t="s">
        <v>75</v>
      </c>
      <c r="X20" t="s">
        <v>68</v>
      </c>
      <c r="Y20" t="s">
        <v>75</v>
      </c>
      <c r="Z20" t="s">
        <v>75</v>
      </c>
      <c r="AC20" t="s">
        <v>111</v>
      </c>
      <c r="AD20">
        <v>4</v>
      </c>
      <c r="AE20">
        <v>4</v>
      </c>
      <c r="AF20">
        <v>4</v>
      </c>
      <c r="AG20">
        <v>4</v>
      </c>
      <c r="AH20">
        <v>5</v>
      </c>
      <c r="AI20" t="s">
        <v>70</v>
      </c>
      <c r="AK20">
        <v>4</v>
      </c>
      <c r="AL20">
        <v>5</v>
      </c>
      <c r="AM20">
        <v>4</v>
      </c>
      <c r="AN20">
        <v>4</v>
      </c>
      <c r="AO20">
        <v>4</v>
      </c>
      <c r="AP20">
        <v>4</v>
      </c>
      <c r="AQ20">
        <v>4</v>
      </c>
      <c r="AR20">
        <v>4</v>
      </c>
      <c r="AS20">
        <v>4</v>
      </c>
      <c r="AT20">
        <v>4</v>
      </c>
      <c r="AU20">
        <v>4</v>
      </c>
      <c r="AV20">
        <v>4</v>
      </c>
      <c r="AW20">
        <v>4</v>
      </c>
      <c r="AX20">
        <v>4</v>
      </c>
      <c r="AY20">
        <v>4</v>
      </c>
      <c r="AZ20">
        <v>4</v>
      </c>
      <c r="BA20">
        <v>4</v>
      </c>
      <c r="BB20">
        <v>4</v>
      </c>
      <c r="BC20">
        <v>4</v>
      </c>
      <c r="BD20">
        <v>4</v>
      </c>
      <c r="BE20">
        <v>4</v>
      </c>
      <c r="BF20">
        <v>4</v>
      </c>
      <c r="BG20" t="s">
        <v>70</v>
      </c>
      <c r="BI20" t="s">
        <v>107</v>
      </c>
    </row>
    <row r="21" spans="1:61" x14ac:dyDescent="0.35">
      <c r="A21" t="str">
        <f>IF(H21='Bộ lọc Giảng viên'!$C$5, MAX($A$1:A20)+1, "")</f>
        <v/>
      </c>
      <c r="B21" s="1">
        <v>46107.825419270826</v>
      </c>
      <c r="C21" t="s">
        <v>144</v>
      </c>
      <c r="D21" t="s">
        <v>63</v>
      </c>
      <c r="E21" t="s">
        <v>145</v>
      </c>
      <c r="F21" t="s">
        <v>145</v>
      </c>
      <c r="H21" t="s">
        <v>78</v>
      </c>
      <c r="I21">
        <v>4</v>
      </c>
      <c r="J21">
        <v>4</v>
      </c>
      <c r="K21">
        <v>5</v>
      </c>
      <c r="L21">
        <v>4</v>
      </c>
      <c r="M21">
        <v>4</v>
      </c>
      <c r="N21">
        <v>4</v>
      </c>
      <c r="O21">
        <v>3</v>
      </c>
      <c r="P21">
        <v>4</v>
      </c>
      <c r="Q21">
        <v>4</v>
      </c>
      <c r="R21">
        <v>4</v>
      </c>
      <c r="S21">
        <v>4</v>
      </c>
      <c r="T21">
        <v>4</v>
      </c>
      <c r="V21" t="s">
        <v>75</v>
      </c>
      <c r="W21" t="s">
        <v>75</v>
      </c>
      <c r="X21" t="s">
        <v>75</v>
      </c>
      <c r="Y21" t="s">
        <v>75</v>
      </c>
      <c r="Z21" t="s">
        <v>75</v>
      </c>
      <c r="AC21" t="s">
        <v>69</v>
      </c>
      <c r="AD21">
        <v>4</v>
      </c>
      <c r="AE21">
        <v>3</v>
      </c>
      <c r="AF21">
        <v>4</v>
      </c>
      <c r="AG21">
        <v>4</v>
      </c>
      <c r="AH21">
        <v>4</v>
      </c>
      <c r="AI21" t="s">
        <v>70</v>
      </c>
      <c r="AK21">
        <v>4</v>
      </c>
      <c r="AL21">
        <v>3</v>
      </c>
      <c r="AM21">
        <v>3</v>
      </c>
      <c r="AN21">
        <v>3</v>
      </c>
      <c r="AO21">
        <v>3</v>
      </c>
      <c r="AP21">
        <v>3</v>
      </c>
      <c r="AQ21">
        <v>3</v>
      </c>
      <c r="AR21">
        <v>3</v>
      </c>
      <c r="AS21">
        <v>3</v>
      </c>
      <c r="AT21">
        <v>4</v>
      </c>
      <c r="AU21">
        <v>3</v>
      </c>
      <c r="AV21">
        <v>3</v>
      </c>
      <c r="AW21">
        <v>3</v>
      </c>
      <c r="AX21">
        <v>3</v>
      </c>
      <c r="AY21">
        <v>3</v>
      </c>
      <c r="AZ21">
        <v>3</v>
      </c>
      <c r="BA21">
        <v>3</v>
      </c>
      <c r="BB21">
        <v>3</v>
      </c>
      <c r="BC21">
        <v>3</v>
      </c>
      <c r="BD21">
        <v>3</v>
      </c>
      <c r="BE21">
        <v>3</v>
      </c>
      <c r="BF21">
        <v>3</v>
      </c>
      <c r="BG21" t="s">
        <v>70</v>
      </c>
      <c r="BI21" t="s">
        <v>107</v>
      </c>
    </row>
    <row r="22" spans="1:61" x14ac:dyDescent="0.35">
      <c r="A22" t="str">
        <f>IF(H22='Bộ lọc Giảng viên'!$C$5, MAX($A$1:A21)+1, "")</f>
        <v/>
      </c>
      <c r="B22" s="1">
        <v>46107.858856053237</v>
      </c>
      <c r="C22" t="s">
        <v>98</v>
      </c>
      <c r="D22" t="s">
        <v>80</v>
      </c>
      <c r="E22" t="s">
        <v>146</v>
      </c>
      <c r="F22" t="s">
        <v>100</v>
      </c>
      <c r="G22" t="s">
        <v>101</v>
      </c>
      <c r="H22" t="s">
        <v>78</v>
      </c>
      <c r="I22">
        <v>5</v>
      </c>
      <c r="J22">
        <v>4</v>
      </c>
      <c r="K22">
        <v>5</v>
      </c>
      <c r="L22">
        <v>5</v>
      </c>
      <c r="M22">
        <v>4</v>
      </c>
      <c r="N22">
        <v>5</v>
      </c>
      <c r="O22">
        <v>4</v>
      </c>
      <c r="P22">
        <v>5</v>
      </c>
      <c r="Q22">
        <v>4</v>
      </c>
      <c r="R22">
        <v>5</v>
      </c>
      <c r="S22">
        <v>5</v>
      </c>
      <c r="T22">
        <v>4</v>
      </c>
      <c r="V22" t="s">
        <v>68</v>
      </c>
      <c r="W22" t="s">
        <v>75</v>
      </c>
      <c r="X22" t="s">
        <v>75</v>
      </c>
      <c r="Y22" t="s">
        <v>75</v>
      </c>
      <c r="Z22" t="s">
        <v>75</v>
      </c>
      <c r="AC22" t="s">
        <v>111</v>
      </c>
      <c r="AD22">
        <v>5</v>
      </c>
      <c r="AE22">
        <v>5</v>
      </c>
      <c r="AF22">
        <v>5</v>
      </c>
      <c r="AG22">
        <v>5</v>
      </c>
      <c r="AH22">
        <v>5</v>
      </c>
      <c r="AI22" t="s">
        <v>88</v>
      </c>
      <c r="AK22">
        <v>4</v>
      </c>
      <c r="AL22">
        <v>4</v>
      </c>
      <c r="AM22">
        <v>4</v>
      </c>
      <c r="AN22">
        <v>4</v>
      </c>
      <c r="AO22">
        <v>4</v>
      </c>
      <c r="AP22">
        <v>4</v>
      </c>
      <c r="AQ22">
        <v>4</v>
      </c>
      <c r="AR22">
        <v>4</v>
      </c>
      <c r="AS22">
        <v>4</v>
      </c>
      <c r="AT22">
        <v>4</v>
      </c>
      <c r="AU22">
        <v>4</v>
      </c>
      <c r="AV22">
        <v>4</v>
      </c>
      <c r="AW22">
        <v>4</v>
      </c>
      <c r="AX22">
        <v>4</v>
      </c>
      <c r="AY22">
        <v>4</v>
      </c>
      <c r="AZ22">
        <v>5</v>
      </c>
      <c r="BA22">
        <v>5</v>
      </c>
      <c r="BB22">
        <v>5</v>
      </c>
      <c r="BC22">
        <v>5</v>
      </c>
      <c r="BD22">
        <v>5</v>
      </c>
      <c r="BE22">
        <v>5</v>
      </c>
      <c r="BF22">
        <v>5</v>
      </c>
      <c r="BG22" t="s">
        <v>88</v>
      </c>
      <c r="BI22" t="s">
        <v>72</v>
      </c>
    </row>
    <row r="23" spans="1:61" x14ac:dyDescent="0.35">
      <c r="A23" t="str">
        <f>IF(H23='Bộ lọc Giảng viên'!$C$5, MAX($A$1:A22)+1, "")</f>
        <v/>
      </c>
      <c r="B23" s="1">
        <v>46107.896262314818</v>
      </c>
      <c r="C23" t="s">
        <v>140</v>
      </c>
      <c r="D23" t="s">
        <v>63</v>
      </c>
      <c r="E23" t="s">
        <v>147</v>
      </c>
      <c r="G23" t="s">
        <v>142</v>
      </c>
      <c r="H23" t="s">
        <v>78</v>
      </c>
      <c r="I23">
        <v>4</v>
      </c>
      <c r="J23">
        <v>4</v>
      </c>
      <c r="K23">
        <v>5</v>
      </c>
      <c r="L23">
        <v>4</v>
      </c>
      <c r="M23">
        <v>4</v>
      </c>
      <c r="N23">
        <v>5</v>
      </c>
      <c r="O23">
        <v>4</v>
      </c>
      <c r="P23">
        <v>4</v>
      </c>
      <c r="Q23">
        <v>4</v>
      </c>
      <c r="R23">
        <v>4</v>
      </c>
      <c r="S23">
        <v>5</v>
      </c>
      <c r="T23">
        <v>4</v>
      </c>
      <c r="V23" t="s">
        <v>75</v>
      </c>
      <c r="W23" t="s">
        <v>75</v>
      </c>
      <c r="X23" t="s">
        <v>68</v>
      </c>
      <c r="Y23" t="s">
        <v>75</v>
      </c>
      <c r="Z23" t="s">
        <v>75</v>
      </c>
      <c r="AC23" t="s">
        <v>111</v>
      </c>
      <c r="AD23">
        <v>4</v>
      </c>
      <c r="AE23">
        <v>4</v>
      </c>
      <c r="AF23">
        <v>5</v>
      </c>
      <c r="AG23">
        <v>4</v>
      </c>
      <c r="AH23">
        <v>5</v>
      </c>
      <c r="AI23" t="s">
        <v>70</v>
      </c>
      <c r="AK23">
        <v>4</v>
      </c>
      <c r="AL23">
        <v>4</v>
      </c>
      <c r="AM23">
        <v>4</v>
      </c>
      <c r="AN23">
        <v>4</v>
      </c>
      <c r="AO23">
        <v>4</v>
      </c>
      <c r="AP23">
        <v>4</v>
      </c>
      <c r="AQ23">
        <v>4</v>
      </c>
      <c r="AR23">
        <v>4</v>
      </c>
      <c r="AS23">
        <v>4</v>
      </c>
      <c r="AT23">
        <v>4</v>
      </c>
      <c r="AU23">
        <v>4</v>
      </c>
      <c r="AV23">
        <v>4</v>
      </c>
      <c r="AW23">
        <v>4</v>
      </c>
      <c r="AX23">
        <v>4</v>
      </c>
      <c r="AY23">
        <v>4</v>
      </c>
      <c r="AZ23">
        <v>4</v>
      </c>
      <c r="BA23">
        <v>4</v>
      </c>
      <c r="BB23">
        <v>4</v>
      </c>
      <c r="BC23">
        <v>4</v>
      </c>
      <c r="BD23">
        <v>4</v>
      </c>
      <c r="BE23">
        <v>4</v>
      </c>
      <c r="BF23">
        <v>4</v>
      </c>
      <c r="BG23" t="s">
        <v>70</v>
      </c>
      <c r="BI23" t="s">
        <v>107</v>
      </c>
    </row>
    <row r="24" spans="1:61" x14ac:dyDescent="0.35">
      <c r="A24" t="str">
        <f>IF(H24='Bộ lọc Giảng viên'!$C$5, MAX($A$1:A23)+1, "")</f>
        <v/>
      </c>
      <c r="B24" s="1">
        <v>46107.908748472233</v>
      </c>
      <c r="C24" t="s">
        <v>148</v>
      </c>
      <c r="D24" t="s">
        <v>80</v>
      </c>
      <c r="E24" t="s">
        <v>149</v>
      </c>
      <c r="F24" t="s">
        <v>150</v>
      </c>
      <c r="G24" t="s">
        <v>151</v>
      </c>
      <c r="H24" t="s">
        <v>78</v>
      </c>
      <c r="I24">
        <v>4</v>
      </c>
      <c r="J24">
        <v>4</v>
      </c>
      <c r="K24">
        <v>5</v>
      </c>
      <c r="L24">
        <v>5</v>
      </c>
      <c r="M24">
        <v>4</v>
      </c>
      <c r="N24">
        <v>4</v>
      </c>
      <c r="O24">
        <v>5</v>
      </c>
      <c r="P24">
        <v>5</v>
      </c>
      <c r="Q24">
        <v>5</v>
      </c>
      <c r="R24">
        <v>4</v>
      </c>
      <c r="S24">
        <v>4</v>
      </c>
      <c r="T24">
        <v>4</v>
      </c>
      <c r="V24" t="s">
        <v>75</v>
      </c>
      <c r="W24" t="s">
        <v>75</v>
      </c>
      <c r="X24" t="s">
        <v>75</v>
      </c>
      <c r="Y24" t="s">
        <v>75</v>
      </c>
      <c r="Z24" t="s">
        <v>75</v>
      </c>
      <c r="AC24" t="s">
        <v>69</v>
      </c>
      <c r="AD24">
        <v>4</v>
      </c>
      <c r="AE24">
        <v>4</v>
      </c>
      <c r="AF24">
        <v>4</v>
      </c>
      <c r="AG24">
        <v>4</v>
      </c>
      <c r="AH24">
        <v>4</v>
      </c>
      <c r="AI24" t="s">
        <v>70</v>
      </c>
      <c r="AK24">
        <v>4</v>
      </c>
      <c r="AL24">
        <v>4</v>
      </c>
      <c r="AM24">
        <v>4</v>
      </c>
      <c r="AN24">
        <v>3</v>
      </c>
      <c r="AO24">
        <v>3</v>
      </c>
      <c r="AP24">
        <v>3</v>
      </c>
      <c r="AQ24">
        <v>3</v>
      </c>
      <c r="AR24">
        <v>3</v>
      </c>
      <c r="AS24">
        <v>3</v>
      </c>
      <c r="AT24">
        <v>4</v>
      </c>
      <c r="AU24">
        <v>3</v>
      </c>
      <c r="AV24">
        <v>3</v>
      </c>
      <c r="AW24">
        <v>2</v>
      </c>
      <c r="AX24">
        <v>3</v>
      </c>
      <c r="AY24">
        <v>3</v>
      </c>
      <c r="AZ24">
        <v>3</v>
      </c>
      <c r="BA24">
        <v>3</v>
      </c>
      <c r="BB24">
        <v>3</v>
      </c>
      <c r="BC24">
        <v>3</v>
      </c>
      <c r="BD24">
        <v>3</v>
      </c>
      <c r="BE24">
        <v>3</v>
      </c>
      <c r="BF24">
        <v>3</v>
      </c>
      <c r="BG24" t="s">
        <v>70</v>
      </c>
      <c r="BI24" t="s">
        <v>107</v>
      </c>
    </row>
    <row r="25" spans="1:61" x14ac:dyDescent="0.35">
      <c r="A25" t="str">
        <f>IF(H25='Bộ lọc Giảng viên'!$C$5, MAX($A$1:A24)+1, "")</f>
        <v/>
      </c>
      <c r="B25" s="1">
        <v>46107.913612534721</v>
      </c>
      <c r="C25" t="s">
        <v>79</v>
      </c>
      <c r="D25" t="s">
        <v>80</v>
      </c>
      <c r="E25" t="s">
        <v>81</v>
      </c>
      <c r="F25" t="s">
        <v>82</v>
      </c>
      <c r="G25" t="s">
        <v>83</v>
      </c>
      <c r="H25" t="s">
        <v>96</v>
      </c>
      <c r="I25">
        <v>5</v>
      </c>
      <c r="J25">
        <v>4</v>
      </c>
      <c r="K25">
        <v>5</v>
      </c>
      <c r="L25">
        <v>5</v>
      </c>
      <c r="M25">
        <v>5</v>
      </c>
      <c r="N25">
        <v>5</v>
      </c>
      <c r="O25">
        <v>5</v>
      </c>
      <c r="P25">
        <v>5</v>
      </c>
      <c r="Q25">
        <v>5</v>
      </c>
      <c r="R25">
        <v>5</v>
      </c>
      <c r="S25">
        <v>5</v>
      </c>
      <c r="T25">
        <v>4</v>
      </c>
      <c r="V25" t="s">
        <v>68</v>
      </c>
      <c r="W25" t="s">
        <v>68</v>
      </c>
      <c r="X25" t="s">
        <v>68</v>
      </c>
      <c r="Y25" t="s">
        <v>68</v>
      </c>
      <c r="Z25" t="s">
        <v>68</v>
      </c>
      <c r="AC25" t="s">
        <v>69</v>
      </c>
      <c r="AD25">
        <v>5</v>
      </c>
      <c r="AE25">
        <v>4</v>
      </c>
      <c r="AF25">
        <v>5</v>
      </c>
      <c r="AG25">
        <v>5</v>
      </c>
      <c r="AH25">
        <v>5</v>
      </c>
      <c r="AI25" t="s">
        <v>70</v>
      </c>
      <c r="AK25">
        <v>5</v>
      </c>
      <c r="AL25">
        <v>5</v>
      </c>
      <c r="AM25">
        <v>4</v>
      </c>
      <c r="AN25">
        <v>4</v>
      </c>
      <c r="AO25">
        <v>4</v>
      </c>
      <c r="AP25">
        <v>5</v>
      </c>
      <c r="AQ25">
        <v>5</v>
      </c>
      <c r="AR25">
        <v>5</v>
      </c>
      <c r="AS25">
        <v>5</v>
      </c>
      <c r="AT25">
        <v>5</v>
      </c>
      <c r="AU25">
        <v>5</v>
      </c>
      <c r="AV25">
        <v>4</v>
      </c>
      <c r="AW25">
        <v>5</v>
      </c>
      <c r="AX25">
        <v>5</v>
      </c>
      <c r="AY25">
        <v>5</v>
      </c>
      <c r="AZ25">
        <v>4</v>
      </c>
      <c r="BA25">
        <v>4</v>
      </c>
      <c r="BB25">
        <v>5</v>
      </c>
      <c r="BC25">
        <v>5</v>
      </c>
      <c r="BD25">
        <v>5</v>
      </c>
      <c r="BE25">
        <v>5</v>
      </c>
      <c r="BF25">
        <v>5</v>
      </c>
      <c r="BG25" t="s">
        <v>70</v>
      </c>
      <c r="BI25" t="s">
        <v>72</v>
      </c>
    </row>
    <row r="26" spans="1:61" x14ac:dyDescent="0.35">
      <c r="A26" t="str">
        <f>IF(H26='Bộ lọc Giảng viên'!$C$5, MAX($A$1:A25)+1, "")</f>
        <v/>
      </c>
      <c r="B26" s="1">
        <v>46107.935136574073</v>
      </c>
      <c r="C26" t="s">
        <v>152</v>
      </c>
      <c r="D26" t="s">
        <v>80</v>
      </c>
      <c r="E26" t="s">
        <v>153</v>
      </c>
      <c r="F26" t="s">
        <v>154</v>
      </c>
      <c r="G26" t="s">
        <v>155</v>
      </c>
      <c r="H26" t="s">
        <v>96</v>
      </c>
      <c r="I26">
        <v>5</v>
      </c>
      <c r="J26">
        <v>2</v>
      </c>
      <c r="K26">
        <v>5</v>
      </c>
      <c r="L26">
        <v>5</v>
      </c>
      <c r="M26">
        <v>4</v>
      </c>
      <c r="N26">
        <v>4</v>
      </c>
      <c r="O26">
        <v>4</v>
      </c>
      <c r="P26">
        <v>4</v>
      </c>
      <c r="Q26">
        <v>5</v>
      </c>
      <c r="R26">
        <v>5</v>
      </c>
      <c r="S26">
        <v>4</v>
      </c>
      <c r="T26">
        <v>3</v>
      </c>
      <c r="V26" t="s">
        <v>68</v>
      </c>
      <c r="W26" t="s">
        <v>75</v>
      </c>
      <c r="X26" t="s">
        <v>75</v>
      </c>
      <c r="Y26" t="s">
        <v>75</v>
      </c>
      <c r="Z26" t="s">
        <v>75</v>
      </c>
      <c r="AA26" t="s">
        <v>89</v>
      </c>
      <c r="AB26" t="s">
        <v>89</v>
      </c>
      <c r="AC26" t="s">
        <v>69</v>
      </c>
      <c r="AD26">
        <v>5</v>
      </c>
      <c r="AE26">
        <v>4</v>
      </c>
      <c r="AF26">
        <v>4</v>
      </c>
      <c r="AG26">
        <v>4</v>
      </c>
      <c r="AH26">
        <v>4</v>
      </c>
      <c r="AI26" t="s">
        <v>70</v>
      </c>
      <c r="AJ26" t="s">
        <v>89</v>
      </c>
      <c r="AK26">
        <v>4</v>
      </c>
      <c r="AL26">
        <v>4</v>
      </c>
      <c r="AM26">
        <v>4</v>
      </c>
      <c r="AN26">
        <v>4</v>
      </c>
      <c r="AO26">
        <v>4</v>
      </c>
      <c r="AP26">
        <v>4</v>
      </c>
      <c r="AQ26">
        <v>4</v>
      </c>
      <c r="AR26">
        <v>4</v>
      </c>
      <c r="AS26">
        <v>4</v>
      </c>
      <c r="AT26">
        <v>4</v>
      </c>
      <c r="AU26">
        <v>4</v>
      </c>
      <c r="AV26">
        <v>4</v>
      </c>
      <c r="AW26">
        <v>4</v>
      </c>
      <c r="AX26">
        <v>4</v>
      </c>
      <c r="AY26">
        <v>4</v>
      </c>
      <c r="AZ26">
        <v>4</v>
      </c>
      <c r="BA26">
        <v>4</v>
      </c>
      <c r="BB26">
        <v>4</v>
      </c>
      <c r="BC26">
        <v>4</v>
      </c>
      <c r="BD26">
        <v>4</v>
      </c>
      <c r="BE26">
        <v>4</v>
      </c>
      <c r="BF26">
        <v>4</v>
      </c>
      <c r="BG26" t="s">
        <v>70</v>
      </c>
      <c r="BH26" t="s">
        <v>89</v>
      </c>
      <c r="BI26" t="s">
        <v>107</v>
      </c>
    </row>
    <row r="27" spans="1:61" x14ac:dyDescent="0.35">
      <c r="A27" t="str">
        <f>IF(H27='Bộ lọc Giảng viên'!$C$5, MAX($A$1:A26)+1, "")</f>
        <v/>
      </c>
      <c r="B27" s="1">
        <v>46107.937777916668</v>
      </c>
      <c r="C27" t="s">
        <v>156</v>
      </c>
      <c r="D27" t="s">
        <v>80</v>
      </c>
      <c r="E27" t="s">
        <v>157</v>
      </c>
      <c r="F27" t="s">
        <v>154</v>
      </c>
      <c r="G27" t="s">
        <v>155</v>
      </c>
      <c r="H27" t="s">
        <v>84</v>
      </c>
      <c r="I27">
        <v>5</v>
      </c>
      <c r="J27">
        <v>3</v>
      </c>
      <c r="K27">
        <v>5</v>
      </c>
      <c r="L27">
        <v>5</v>
      </c>
      <c r="M27">
        <v>5</v>
      </c>
      <c r="N27">
        <v>5</v>
      </c>
      <c r="O27">
        <v>5</v>
      </c>
      <c r="P27">
        <v>5</v>
      </c>
      <c r="Q27">
        <v>5</v>
      </c>
      <c r="R27">
        <v>5</v>
      </c>
      <c r="S27">
        <v>4</v>
      </c>
      <c r="T27">
        <v>4</v>
      </c>
      <c r="V27" t="s">
        <v>68</v>
      </c>
      <c r="W27" t="s">
        <v>75</v>
      </c>
      <c r="X27" t="s">
        <v>75</v>
      </c>
      <c r="Y27" t="s">
        <v>75</v>
      </c>
      <c r="Z27" t="s">
        <v>75</v>
      </c>
      <c r="AA27" t="s">
        <v>89</v>
      </c>
      <c r="AB27" t="s">
        <v>89</v>
      </c>
      <c r="AC27" t="s">
        <v>69</v>
      </c>
      <c r="AD27">
        <v>5</v>
      </c>
      <c r="AE27">
        <v>4</v>
      </c>
      <c r="AF27">
        <v>4</v>
      </c>
      <c r="AG27">
        <v>4</v>
      </c>
      <c r="AH27">
        <v>4</v>
      </c>
      <c r="AI27" t="s">
        <v>70</v>
      </c>
      <c r="AJ27" t="s">
        <v>89</v>
      </c>
      <c r="AK27">
        <v>4</v>
      </c>
      <c r="AL27">
        <v>4</v>
      </c>
      <c r="AM27">
        <v>4</v>
      </c>
      <c r="AN27">
        <v>4</v>
      </c>
      <c r="AO27">
        <v>4</v>
      </c>
      <c r="AP27">
        <v>4</v>
      </c>
      <c r="AQ27">
        <v>4</v>
      </c>
      <c r="AR27">
        <v>4</v>
      </c>
      <c r="AS27">
        <v>4</v>
      </c>
      <c r="AT27">
        <v>4</v>
      </c>
      <c r="AU27">
        <v>4</v>
      </c>
      <c r="AV27">
        <v>4</v>
      </c>
      <c r="AW27">
        <v>4</v>
      </c>
      <c r="AX27">
        <v>4</v>
      </c>
      <c r="AY27">
        <v>4</v>
      </c>
      <c r="AZ27">
        <v>4</v>
      </c>
      <c r="BA27">
        <v>4</v>
      </c>
      <c r="BB27">
        <v>4</v>
      </c>
      <c r="BC27">
        <v>4</v>
      </c>
      <c r="BD27">
        <v>4</v>
      </c>
      <c r="BE27">
        <v>4</v>
      </c>
      <c r="BF27">
        <v>4</v>
      </c>
      <c r="BG27" t="s">
        <v>70</v>
      </c>
      <c r="BH27" t="s">
        <v>89</v>
      </c>
      <c r="BI27" t="s">
        <v>107</v>
      </c>
    </row>
    <row r="28" spans="1:61" x14ac:dyDescent="0.35">
      <c r="A28" t="str">
        <f>IF(H28='Bộ lọc Giảng viên'!$C$5, MAX($A$1:A27)+1, "")</f>
        <v/>
      </c>
      <c r="B28" s="1">
        <v>46108.367858090278</v>
      </c>
      <c r="C28" t="s">
        <v>122</v>
      </c>
      <c r="D28" t="s">
        <v>80</v>
      </c>
      <c r="E28" t="s">
        <v>158</v>
      </c>
      <c r="F28" t="s">
        <v>124</v>
      </c>
      <c r="G28" t="s">
        <v>125</v>
      </c>
      <c r="H28" t="s">
        <v>84</v>
      </c>
      <c r="I28">
        <v>5</v>
      </c>
      <c r="J28">
        <v>5</v>
      </c>
      <c r="K28">
        <v>5</v>
      </c>
      <c r="L28">
        <v>5</v>
      </c>
      <c r="M28">
        <v>5</v>
      </c>
      <c r="N28">
        <v>5</v>
      </c>
      <c r="O28">
        <v>5</v>
      </c>
      <c r="P28">
        <v>5</v>
      </c>
      <c r="Q28">
        <v>5</v>
      </c>
      <c r="R28">
        <v>5</v>
      </c>
      <c r="S28">
        <v>4</v>
      </c>
      <c r="T28">
        <v>5</v>
      </c>
      <c r="V28" t="s">
        <v>68</v>
      </c>
      <c r="W28" t="s">
        <v>68</v>
      </c>
      <c r="X28" t="s">
        <v>68</v>
      </c>
      <c r="Y28" t="s">
        <v>68</v>
      </c>
      <c r="Z28" t="s">
        <v>68</v>
      </c>
      <c r="AC28" t="s">
        <v>69</v>
      </c>
      <c r="AD28">
        <v>5</v>
      </c>
      <c r="AE28">
        <v>5</v>
      </c>
      <c r="AF28">
        <v>5</v>
      </c>
      <c r="AG28">
        <v>5</v>
      </c>
      <c r="AH28">
        <v>5</v>
      </c>
      <c r="AI28" t="s">
        <v>88</v>
      </c>
      <c r="AK28">
        <v>5</v>
      </c>
      <c r="AL28">
        <v>5</v>
      </c>
      <c r="AM28">
        <v>5</v>
      </c>
      <c r="AN28">
        <v>5</v>
      </c>
      <c r="AO28">
        <v>5</v>
      </c>
      <c r="AP28">
        <v>5</v>
      </c>
      <c r="AQ28">
        <v>5</v>
      </c>
      <c r="AR28">
        <v>5</v>
      </c>
      <c r="AS28">
        <v>5</v>
      </c>
      <c r="AT28">
        <v>5</v>
      </c>
      <c r="AU28">
        <v>5</v>
      </c>
      <c r="AV28">
        <v>5</v>
      </c>
      <c r="AW28">
        <v>5</v>
      </c>
      <c r="AX28">
        <v>5</v>
      </c>
      <c r="AY28">
        <v>5</v>
      </c>
      <c r="AZ28">
        <v>5</v>
      </c>
      <c r="BA28">
        <v>5</v>
      </c>
      <c r="BB28">
        <v>5</v>
      </c>
      <c r="BC28">
        <v>5</v>
      </c>
      <c r="BD28">
        <v>5</v>
      </c>
      <c r="BE28">
        <v>5</v>
      </c>
      <c r="BF28">
        <v>5</v>
      </c>
      <c r="BG28" t="s">
        <v>88</v>
      </c>
      <c r="BI28" t="s">
        <v>72</v>
      </c>
    </row>
    <row r="29" spans="1:61" x14ac:dyDescent="0.35">
      <c r="A29" t="str">
        <f>IF(H29='Bộ lọc Giảng viên'!$C$5, MAX($A$1:A28)+1, "")</f>
        <v/>
      </c>
      <c r="B29" s="1">
        <v>46108.413330914351</v>
      </c>
      <c r="C29" t="s">
        <v>98</v>
      </c>
      <c r="D29" t="s">
        <v>80</v>
      </c>
      <c r="E29" t="s">
        <v>146</v>
      </c>
      <c r="F29" t="s">
        <v>159</v>
      </c>
      <c r="G29" t="s">
        <v>160</v>
      </c>
      <c r="H29" t="s">
        <v>96</v>
      </c>
      <c r="I29">
        <v>5</v>
      </c>
      <c r="J29">
        <v>4</v>
      </c>
      <c r="K29">
        <v>5</v>
      </c>
      <c r="L29">
        <v>4</v>
      </c>
      <c r="M29">
        <v>5</v>
      </c>
      <c r="N29">
        <v>4</v>
      </c>
      <c r="O29">
        <v>5</v>
      </c>
      <c r="P29">
        <v>5</v>
      </c>
      <c r="Q29">
        <v>5</v>
      </c>
      <c r="R29">
        <v>5</v>
      </c>
      <c r="S29">
        <v>5</v>
      </c>
      <c r="T29">
        <v>5</v>
      </c>
      <c r="V29" t="s">
        <v>68</v>
      </c>
      <c r="W29" t="s">
        <v>68</v>
      </c>
      <c r="X29" t="s">
        <v>75</v>
      </c>
      <c r="Y29" t="s">
        <v>68</v>
      </c>
      <c r="Z29" t="s">
        <v>68</v>
      </c>
      <c r="AC29" t="s">
        <v>69</v>
      </c>
      <c r="AD29">
        <v>4</v>
      </c>
      <c r="AE29">
        <v>5</v>
      </c>
      <c r="AF29">
        <v>5</v>
      </c>
      <c r="AG29">
        <v>4</v>
      </c>
      <c r="AH29">
        <v>5</v>
      </c>
      <c r="AI29" t="s">
        <v>70</v>
      </c>
      <c r="AK29">
        <v>4</v>
      </c>
      <c r="AL29">
        <v>5</v>
      </c>
      <c r="AM29">
        <v>5</v>
      </c>
      <c r="AN29">
        <v>4</v>
      </c>
      <c r="AO29">
        <v>5</v>
      </c>
      <c r="AP29">
        <v>5</v>
      </c>
      <c r="AQ29">
        <v>4</v>
      </c>
      <c r="AR29">
        <v>5</v>
      </c>
      <c r="AS29">
        <v>5</v>
      </c>
      <c r="AT29">
        <v>4</v>
      </c>
      <c r="AU29">
        <v>5</v>
      </c>
      <c r="AV29">
        <v>5</v>
      </c>
      <c r="AW29">
        <v>5</v>
      </c>
      <c r="AX29">
        <v>4</v>
      </c>
      <c r="AY29">
        <v>5</v>
      </c>
      <c r="AZ29">
        <v>5</v>
      </c>
      <c r="BA29">
        <v>4</v>
      </c>
      <c r="BB29">
        <v>5</v>
      </c>
      <c r="BC29">
        <v>5</v>
      </c>
      <c r="BD29">
        <v>5</v>
      </c>
      <c r="BE29">
        <v>4</v>
      </c>
      <c r="BF29">
        <v>5</v>
      </c>
      <c r="BG29" t="s">
        <v>88</v>
      </c>
      <c r="BI29" t="s">
        <v>72</v>
      </c>
    </row>
    <row r="30" spans="1:61" x14ac:dyDescent="0.35">
      <c r="A30" t="str">
        <f>IF(H30='Bộ lọc Giảng viên'!$C$5, MAX($A$1:A29)+1, "")</f>
        <v/>
      </c>
      <c r="B30" s="1">
        <v>46108.578059108797</v>
      </c>
      <c r="C30" t="s">
        <v>161</v>
      </c>
      <c r="D30" t="s">
        <v>80</v>
      </c>
      <c r="E30" t="s">
        <v>162</v>
      </c>
      <c r="G30" t="s">
        <v>163</v>
      </c>
      <c r="H30" t="s">
        <v>96</v>
      </c>
      <c r="I30">
        <v>4</v>
      </c>
      <c r="J30">
        <v>3</v>
      </c>
      <c r="K30">
        <v>4</v>
      </c>
      <c r="L30">
        <v>4</v>
      </c>
      <c r="M30">
        <v>4</v>
      </c>
      <c r="N30">
        <v>4</v>
      </c>
      <c r="O30">
        <v>4</v>
      </c>
      <c r="P30">
        <v>3</v>
      </c>
      <c r="Q30">
        <v>3</v>
      </c>
      <c r="R30">
        <v>3</v>
      </c>
      <c r="S30">
        <v>5</v>
      </c>
      <c r="T30">
        <v>5</v>
      </c>
      <c r="V30" t="s">
        <v>75</v>
      </c>
      <c r="W30" t="s">
        <v>75</v>
      </c>
      <c r="X30" t="s">
        <v>76</v>
      </c>
      <c r="Y30" t="s">
        <v>75</v>
      </c>
      <c r="Z30" t="s">
        <v>76</v>
      </c>
      <c r="AC30" t="s">
        <v>106</v>
      </c>
      <c r="AD30">
        <v>4</v>
      </c>
      <c r="AE30">
        <v>5</v>
      </c>
      <c r="AF30">
        <v>4</v>
      </c>
      <c r="AG30">
        <v>4</v>
      </c>
      <c r="AH30">
        <v>4</v>
      </c>
      <c r="AI30" t="s">
        <v>70</v>
      </c>
      <c r="AK30">
        <v>4</v>
      </c>
      <c r="AL30">
        <v>4</v>
      </c>
      <c r="AM30">
        <v>4</v>
      </c>
      <c r="AN30">
        <v>4</v>
      </c>
      <c r="AO30">
        <v>4</v>
      </c>
      <c r="AP30">
        <v>4</v>
      </c>
      <c r="AQ30">
        <v>4</v>
      </c>
      <c r="AR30">
        <v>4</v>
      </c>
      <c r="AS30">
        <v>4</v>
      </c>
      <c r="AT30">
        <v>4</v>
      </c>
      <c r="AU30">
        <v>3</v>
      </c>
      <c r="AV30">
        <v>3</v>
      </c>
      <c r="AW30">
        <v>3</v>
      </c>
      <c r="AX30">
        <v>4</v>
      </c>
      <c r="AY30">
        <v>3</v>
      </c>
      <c r="AZ30">
        <v>4</v>
      </c>
      <c r="BA30">
        <v>4</v>
      </c>
      <c r="BB30">
        <v>4</v>
      </c>
      <c r="BC30">
        <v>4</v>
      </c>
      <c r="BD30">
        <v>4</v>
      </c>
      <c r="BE30">
        <v>4</v>
      </c>
      <c r="BF30">
        <v>4</v>
      </c>
      <c r="BG30" t="s">
        <v>70</v>
      </c>
      <c r="BI30" t="s">
        <v>72</v>
      </c>
    </row>
    <row r="31" spans="1:61" x14ac:dyDescent="0.35">
      <c r="A31" t="str">
        <f>IF(H31='Bộ lọc Giảng viên'!$C$5, MAX($A$1:A30)+1, "")</f>
        <v/>
      </c>
      <c r="B31" s="1">
        <v>46108.922866909721</v>
      </c>
      <c r="C31" t="s">
        <v>164</v>
      </c>
      <c r="D31" t="s">
        <v>80</v>
      </c>
      <c r="E31" t="s">
        <v>165</v>
      </c>
      <c r="F31" t="s">
        <v>166</v>
      </c>
      <c r="G31" t="s">
        <v>167</v>
      </c>
      <c r="H31" t="s">
        <v>78</v>
      </c>
      <c r="I31">
        <v>5</v>
      </c>
      <c r="J31">
        <v>5</v>
      </c>
      <c r="K31">
        <v>5</v>
      </c>
      <c r="L31">
        <v>5</v>
      </c>
      <c r="M31">
        <v>5</v>
      </c>
      <c r="N31">
        <v>5</v>
      </c>
      <c r="O31">
        <v>5</v>
      </c>
      <c r="P31">
        <v>5</v>
      </c>
      <c r="Q31">
        <v>5</v>
      </c>
      <c r="R31">
        <v>5</v>
      </c>
      <c r="S31">
        <v>5</v>
      </c>
      <c r="T31">
        <v>5</v>
      </c>
      <c r="V31" t="s">
        <v>75</v>
      </c>
      <c r="W31" t="s">
        <v>68</v>
      </c>
      <c r="X31" t="s">
        <v>68</v>
      </c>
      <c r="Y31" t="s">
        <v>68</v>
      </c>
      <c r="Z31" t="s">
        <v>75</v>
      </c>
      <c r="AB31" t="s">
        <v>168</v>
      </c>
      <c r="AC31" t="s">
        <v>69</v>
      </c>
      <c r="AD31">
        <v>4</v>
      </c>
      <c r="AE31">
        <v>5</v>
      </c>
      <c r="AF31">
        <v>4</v>
      </c>
      <c r="AG31">
        <v>4</v>
      </c>
      <c r="AH31">
        <v>4</v>
      </c>
      <c r="AI31" t="s">
        <v>70</v>
      </c>
      <c r="AK31">
        <v>5</v>
      </c>
      <c r="AL31">
        <v>5</v>
      </c>
      <c r="AM31">
        <v>5</v>
      </c>
      <c r="AN31">
        <v>4</v>
      </c>
      <c r="AO31">
        <v>5</v>
      </c>
      <c r="AP31">
        <v>5</v>
      </c>
      <c r="AQ31">
        <v>5</v>
      </c>
      <c r="AR31">
        <v>4</v>
      </c>
      <c r="AS31">
        <v>4</v>
      </c>
      <c r="AT31">
        <v>5</v>
      </c>
      <c r="AU31">
        <v>4</v>
      </c>
      <c r="AV31">
        <v>4</v>
      </c>
      <c r="AW31">
        <v>4</v>
      </c>
      <c r="AX31">
        <v>4</v>
      </c>
      <c r="AY31">
        <v>4</v>
      </c>
      <c r="AZ31">
        <v>5</v>
      </c>
      <c r="BA31">
        <v>4</v>
      </c>
      <c r="BB31">
        <v>4</v>
      </c>
      <c r="BC31">
        <v>5</v>
      </c>
      <c r="BD31">
        <v>4</v>
      </c>
      <c r="BE31">
        <v>4</v>
      </c>
      <c r="BF31">
        <v>4</v>
      </c>
      <c r="BG31" t="s">
        <v>70</v>
      </c>
      <c r="BI31" t="s">
        <v>72</v>
      </c>
    </row>
    <row r="32" spans="1:61" x14ac:dyDescent="0.35">
      <c r="A32" t="str">
        <f>IF(H32='Bộ lọc Giảng viên'!$C$5, MAX($A$1:A31)+1, "")</f>
        <v/>
      </c>
      <c r="B32" s="1">
        <v>46109.300672743047</v>
      </c>
      <c r="C32" t="s">
        <v>132</v>
      </c>
      <c r="D32" t="s">
        <v>63</v>
      </c>
      <c r="E32" t="s">
        <v>169</v>
      </c>
      <c r="H32" t="s">
        <v>78</v>
      </c>
      <c r="I32">
        <v>5</v>
      </c>
      <c r="J32">
        <v>5</v>
      </c>
      <c r="K32">
        <v>4</v>
      </c>
      <c r="L32">
        <v>4</v>
      </c>
      <c r="M32">
        <v>5</v>
      </c>
      <c r="N32">
        <v>4</v>
      </c>
      <c r="O32">
        <v>5</v>
      </c>
      <c r="P32">
        <v>4</v>
      </c>
      <c r="Q32">
        <v>4</v>
      </c>
      <c r="R32">
        <v>4</v>
      </c>
      <c r="S32">
        <v>4</v>
      </c>
      <c r="T32">
        <v>4</v>
      </c>
      <c r="V32" t="s">
        <v>75</v>
      </c>
      <c r="W32" t="s">
        <v>75</v>
      </c>
      <c r="X32" t="s">
        <v>75</v>
      </c>
      <c r="Y32" t="s">
        <v>75</v>
      </c>
      <c r="Z32" t="s">
        <v>75</v>
      </c>
      <c r="AC32" t="s">
        <v>111</v>
      </c>
      <c r="AD32">
        <v>3</v>
      </c>
      <c r="AE32">
        <v>3</v>
      </c>
      <c r="AF32">
        <v>4</v>
      </c>
      <c r="AG32">
        <v>4</v>
      </c>
      <c r="AH32">
        <v>4</v>
      </c>
      <c r="AI32" t="s">
        <v>136</v>
      </c>
      <c r="AK32">
        <v>3</v>
      </c>
      <c r="AL32">
        <v>3</v>
      </c>
      <c r="AM32">
        <v>3</v>
      </c>
      <c r="AN32">
        <v>3</v>
      </c>
      <c r="AO32">
        <v>3</v>
      </c>
      <c r="AP32">
        <v>3</v>
      </c>
      <c r="AQ32">
        <v>3</v>
      </c>
      <c r="AR32">
        <v>3</v>
      </c>
      <c r="AS32">
        <v>3</v>
      </c>
      <c r="AT32">
        <v>3</v>
      </c>
      <c r="AU32">
        <v>3</v>
      </c>
      <c r="AV32">
        <v>3</v>
      </c>
      <c r="AW32">
        <v>3</v>
      </c>
      <c r="AX32">
        <v>3</v>
      </c>
      <c r="AY32">
        <v>3</v>
      </c>
      <c r="AZ32">
        <v>4</v>
      </c>
      <c r="BA32">
        <v>4</v>
      </c>
      <c r="BB32">
        <v>4</v>
      </c>
      <c r="BC32">
        <v>4</v>
      </c>
      <c r="BD32">
        <v>4</v>
      </c>
      <c r="BE32">
        <v>4</v>
      </c>
      <c r="BF32">
        <v>4</v>
      </c>
      <c r="BG32" t="s">
        <v>136</v>
      </c>
      <c r="BI32" t="s">
        <v>107</v>
      </c>
    </row>
    <row r="33" spans="1:62" x14ac:dyDescent="0.35">
      <c r="A33" t="str">
        <f>IF(H33='Bộ lọc Giảng viên'!$C$5, MAX($A$1:A32)+1, "")</f>
        <v/>
      </c>
      <c r="B33" s="1">
        <v>46110.789416099527</v>
      </c>
      <c r="C33" t="s">
        <v>170</v>
      </c>
      <c r="D33" t="s">
        <v>80</v>
      </c>
      <c r="E33" t="s">
        <v>171</v>
      </c>
      <c r="F33" t="s">
        <v>172</v>
      </c>
      <c r="G33" t="s">
        <v>173</v>
      </c>
      <c r="H33" t="s">
        <v>78</v>
      </c>
      <c r="I33">
        <v>5</v>
      </c>
      <c r="J33">
        <v>4</v>
      </c>
      <c r="K33">
        <v>5</v>
      </c>
      <c r="L33">
        <v>5</v>
      </c>
      <c r="M33">
        <v>5</v>
      </c>
      <c r="N33">
        <v>4</v>
      </c>
      <c r="O33">
        <v>4</v>
      </c>
      <c r="P33">
        <v>5</v>
      </c>
      <c r="Q33">
        <v>4</v>
      </c>
      <c r="R33">
        <v>4</v>
      </c>
      <c r="S33">
        <v>4</v>
      </c>
      <c r="T33">
        <v>4</v>
      </c>
      <c r="V33" t="s">
        <v>75</v>
      </c>
      <c r="W33" t="s">
        <v>75</v>
      </c>
      <c r="X33" t="s">
        <v>68</v>
      </c>
      <c r="Y33" t="s">
        <v>75</v>
      </c>
      <c r="Z33" t="s">
        <v>75</v>
      </c>
      <c r="AC33" t="s">
        <v>69</v>
      </c>
      <c r="AD33">
        <v>5</v>
      </c>
      <c r="AE33">
        <v>5</v>
      </c>
      <c r="AF33">
        <v>5</v>
      </c>
      <c r="AG33">
        <v>4</v>
      </c>
      <c r="AH33">
        <v>5</v>
      </c>
      <c r="AI33" t="s">
        <v>88</v>
      </c>
      <c r="AK33">
        <v>4</v>
      </c>
      <c r="AL33">
        <v>5</v>
      </c>
      <c r="AM33">
        <v>5</v>
      </c>
      <c r="AN33">
        <v>4</v>
      </c>
      <c r="AO33">
        <v>4</v>
      </c>
      <c r="AP33">
        <v>5</v>
      </c>
      <c r="AQ33">
        <v>5</v>
      </c>
      <c r="AR33">
        <v>4</v>
      </c>
      <c r="AS33">
        <v>5</v>
      </c>
      <c r="AT33">
        <v>4</v>
      </c>
      <c r="AU33">
        <v>4</v>
      </c>
      <c r="AV33">
        <v>4</v>
      </c>
      <c r="AW33">
        <v>4</v>
      </c>
      <c r="AX33">
        <v>4</v>
      </c>
      <c r="AY33">
        <v>4</v>
      </c>
      <c r="AZ33">
        <v>4</v>
      </c>
      <c r="BA33">
        <v>3</v>
      </c>
      <c r="BB33">
        <v>4</v>
      </c>
      <c r="BC33">
        <v>3</v>
      </c>
      <c r="BD33">
        <v>3</v>
      </c>
      <c r="BE33">
        <v>4</v>
      </c>
      <c r="BF33">
        <v>3</v>
      </c>
      <c r="BG33" t="s">
        <v>70</v>
      </c>
      <c r="BI33" t="s">
        <v>107</v>
      </c>
    </row>
    <row r="34" spans="1:62" x14ac:dyDescent="0.35">
      <c r="A34" t="str">
        <f>IF(H34='Bộ lọc Giảng viên'!$C$5, MAX($A$1:A33)+1, "")</f>
        <v/>
      </c>
      <c r="B34" s="1">
        <v>46110.950268368048</v>
      </c>
      <c r="C34" t="s">
        <v>174</v>
      </c>
      <c r="D34" t="s">
        <v>80</v>
      </c>
      <c r="E34" t="s">
        <v>175</v>
      </c>
      <c r="F34" t="s">
        <v>176</v>
      </c>
      <c r="G34" t="s">
        <v>177</v>
      </c>
      <c r="H34" t="s">
        <v>96</v>
      </c>
      <c r="I34">
        <v>5</v>
      </c>
      <c r="J34">
        <v>5</v>
      </c>
      <c r="K34">
        <v>5</v>
      </c>
      <c r="L34">
        <v>5</v>
      </c>
      <c r="M34">
        <v>5</v>
      </c>
      <c r="N34">
        <v>5</v>
      </c>
      <c r="O34">
        <v>5</v>
      </c>
      <c r="P34">
        <v>5</v>
      </c>
      <c r="Q34">
        <v>5</v>
      </c>
      <c r="R34">
        <v>5</v>
      </c>
      <c r="S34">
        <v>5</v>
      </c>
      <c r="T34">
        <v>5</v>
      </c>
      <c r="V34" t="s">
        <v>75</v>
      </c>
      <c r="W34" t="s">
        <v>75</v>
      </c>
      <c r="X34" t="s">
        <v>75</v>
      </c>
      <c r="Y34" t="s">
        <v>68</v>
      </c>
      <c r="Z34" t="s">
        <v>68</v>
      </c>
      <c r="AC34" t="s">
        <v>106</v>
      </c>
      <c r="AD34">
        <v>5</v>
      </c>
      <c r="AE34">
        <v>5</v>
      </c>
      <c r="AF34">
        <v>5</v>
      </c>
      <c r="AG34">
        <v>5</v>
      </c>
      <c r="AH34">
        <v>5</v>
      </c>
      <c r="AI34" t="s">
        <v>70</v>
      </c>
      <c r="AK34">
        <v>5</v>
      </c>
      <c r="AL34">
        <v>5</v>
      </c>
      <c r="AM34">
        <v>5</v>
      </c>
      <c r="AN34">
        <v>5</v>
      </c>
      <c r="AO34">
        <v>5</v>
      </c>
      <c r="AP34">
        <v>5</v>
      </c>
      <c r="AQ34">
        <v>5</v>
      </c>
      <c r="AR34">
        <v>5</v>
      </c>
      <c r="AS34">
        <v>5</v>
      </c>
      <c r="AT34">
        <v>5</v>
      </c>
      <c r="AU34">
        <v>5</v>
      </c>
      <c r="AV34">
        <v>5</v>
      </c>
      <c r="AW34">
        <v>5</v>
      </c>
      <c r="AX34">
        <v>5</v>
      </c>
      <c r="AY34">
        <v>5</v>
      </c>
      <c r="AZ34">
        <v>5</v>
      </c>
      <c r="BA34">
        <v>5</v>
      </c>
      <c r="BB34">
        <v>5</v>
      </c>
      <c r="BC34">
        <v>5</v>
      </c>
      <c r="BD34">
        <v>5</v>
      </c>
      <c r="BE34">
        <v>5</v>
      </c>
      <c r="BF34">
        <v>5</v>
      </c>
      <c r="BG34" t="s">
        <v>70</v>
      </c>
      <c r="BI34" t="s">
        <v>107</v>
      </c>
    </row>
    <row r="35" spans="1:62" x14ac:dyDescent="0.35">
      <c r="A35" t="str">
        <f>IF(H35='Bộ lọc Giảng viên'!$C$5, MAX($A$1:A34)+1, "")</f>
        <v/>
      </c>
      <c r="B35" s="1">
        <v>46111.317220300924</v>
      </c>
      <c r="C35" t="s">
        <v>102</v>
      </c>
      <c r="D35" t="s">
        <v>80</v>
      </c>
      <c r="E35" t="s">
        <v>178</v>
      </c>
      <c r="F35" t="s">
        <v>104</v>
      </c>
      <c r="G35" t="s">
        <v>105</v>
      </c>
      <c r="H35" t="s">
        <v>78</v>
      </c>
      <c r="I35">
        <v>4</v>
      </c>
      <c r="J35">
        <v>4</v>
      </c>
      <c r="K35">
        <v>5</v>
      </c>
      <c r="L35">
        <v>5</v>
      </c>
      <c r="M35">
        <v>4</v>
      </c>
      <c r="N35">
        <v>4</v>
      </c>
      <c r="O35">
        <v>4</v>
      </c>
      <c r="P35">
        <v>4</v>
      </c>
      <c r="Q35">
        <v>4</v>
      </c>
      <c r="R35">
        <v>4</v>
      </c>
      <c r="S35">
        <v>4</v>
      </c>
      <c r="T35">
        <v>4</v>
      </c>
      <c r="V35" t="s">
        <v>75</v>
      </c>
      <c r="W35" t="s">
        <v>75</v>
      </c>
      <c r="X35" t="s">
        <v>75</v>
      </c>
      <c r="Y35" t="s">
        <v>75</v>
      </c>
      <c r="Z35" t="s">
        <v>75</v>
      </c>
      <c r="AC35" t="s">
        <v>106</v>
      </c>
      <c r="AD35">
        <v>4</v>
      </c>
      <c r="AE35">
        <v>4</v>
      </c>
      <c r="AF35">
        <v>5</v>
      </c>
      <c r="AG35">
        <v>5</v>
      </c>
      <c r="AH35">
        <v>5</v>
      </c>
      <c r="AI35" t="s">
        <v>70</v>
      </c>
      <c r="AK35">
        <v>5</v>
      </c>
      <c r="AL35">
        <v>5</v>
      </c>
      <c r="AM35">
        <v>5</v>
      </c>
      <c r="AN35">
        <v>5</v>
      </c>
      <c r="AO35">
        <v>5</v>
      </c>
      <c r="AP35">
        <v>5</v>
      </c>
      <c r="AQ35">
        <v>5</v>
      </c>
      <c r="AR35">
        <v>5</v>
      </c>
      <c r="AS35">
        <v>5</v>
      </c>
      <c r="AT35">
        <v>5</v>
      </c>
      <c r="AU35">
        <v>5</v>
      </c>
      <c r="AV35">
        <v>5</v>
      </c>
      <c r="AW35">
        <v>5</v>
      </c>
      <c r="AX35">
        <v>5</v>
      </c>
      <c r="AY35">
        <v>5</v>
      </c>
      <c r="AZ35">
        <v>5</v>
      </c>
      <c r="BA35">
        <v>5</v>
      </c>
      <c r="BB35">
        <v>5</v>
      </c>
      <c r="BC35">
        <v>5</v>
      </c>
      <c r="BD35">
        <v>5</v>
      </c>
      <c r="BE35">
        <v>5</v>
      </c>
      <c r="BF35">
        <v>5</v>
      </c>
      <c r="BG35" t="s">
        <v>88</v>
      </c>
      <c r="BI35" t="s">
        <v>107</v>
      </c>
    </row>
    <row r="36" spans="1:62" x14ac:dyDescent="0.35">
      <c r="A36" t="str">
        <f>IF(H36='Bộ lọc Giảng viên'!$C$5, MAX($A$1:A35)+1, "")</f>
        <v/>
      </c>
      <c r="B36" s="1">
        <v>46111.323208368063</v>
      </c>
      <c r="C36" t="s">
        <v>102</v>
      </c>
      <c r="D36" t="s">
        <v>80</v>
      </c>
      <c r="E36" t="s">
        <v>178</v>
      </c>
      <c r="F36" t="s">
        <v>104</v>
      </c>
      <c r="G36" t="s">
        <v>105</v>
      </c>
      <c r="H36" t="s">
        <v>179</v>
      </c>
      <c r="I36">
        <v>4</v>
      </c>
      <c r="J36">
        <v>4</v>
      </c>
      <c r="K36">
        <v>5</v>
      </c>
      <c r="L36">
        <v>5</v>
      </c>
      <c r="M36">
        <v>4</v>
      </c>
      <c r="N36">
        <v>4</v>
      </c>
      <c r="O36">
        <v>4</v>
      </c>
      <c r="P36">
        <v>4</v>
      </c>
      <c r="Q36">
        <v>4</v>
      </c>
      <c r="R36">
        <v>4</v>
      </c>
      <c r="S36">
        <v>4</v>
      </c>
      <c r="T36">
        <v>4</v>
      </c>
      <c r="V36" t="s">
        <v>76</v>
      </c>
      <c r="W36" t="s">
        <v>76</v>
      </c>
      <c r="X36" t="s">
        <v>76</v>
      </c>
      <c r="Y36" t="s">
        <v>76</v>
      </c>
      <c r="Z36" t="s">
        <v>76</v>
      </c>
      <c r="AB36" t="s">
        <v>180</v>
      </c>
      <c r="AC36" t="s">
        <v>106</v>
      </c>
      <c r="AD36">
        <v>4</v>
      </c>
      <c r="AE36">
        <v>4</v>
      </c>
      <c r="AF36">
        <v>4</v>
      </c>
      <c r="AG36">
        <v>4</v>
      </c>
      <c r="AH36">
        <v>4</v>
      </c>
      <c r="AI36" t="s">
        <v>70</v>
      </c>
      <c r="AK36">
        <v>4</v>
      </c>
      <c r="AL36">
        <v>4</v>
      </c>
      <c r="AM36">
        <v>4</v>
      </c>
      <c r="AN36">
        <v>4</v>
      </c>
      <c r="AO36">
        <v>4</v>
      </c>
      <c r="AP36">
        <v>4</v>
      </c>
      <c r="AQ36">
        <v>4</v>
      </c>
      <c r="AR36">
        <v>4</v>
      </c>
      <c r="AS36">
        <v>4</v>
      </c>
      <c r="AT36">
        <v>4</v>
      </c>
      <c r="AU36">
        <v>4</v>
      </c>
      <c r="AV36">
        <v>4</v>
      </c>
      <c r="AW36">
        <v>4</v>
      </c>
      <c r="AX36">
        <v>4</v>
      </c>
      <c r="AY36">
        <v>4</v>
      </c>
      <c r="AZ36">
        <v>3</v>
      </c>
      <c r="BA36">
        <v>3</v>
      </c>
      <c r="BB36">
        <v>3</v>
      </c>
      <c r="BC36">
        <v>3</v>
      </c>
      <c r="BD36">
        <v>3</v>
      </c>
      <c r="BE36">
        <v>3</v>
      </c>
      <c r="BF36">
        <v>3</v>
      </c>
      <c r="BG36" t="s">
        <v>70</v>
      </c>
      <c r="BI36" t="s">
        <v>107</v>
      </c>
    </row>
    <row r="37" spans="1:62" x14ac:dyDescent="0.35">
      <c r="A37">
        <f>IF(H37='Bộ lọc Giảng viên'!$C$5, MAX($A$1:A36)+1, "")</f>
        <v>2</v>
      </c>
      <c r="B37" s="1">
        <v>46111.71736574074</v>
      </c>
      <c r="C37" t="s">
        <v>181</v>
      </c>
      <c r="D37" t="s">
        <v>63</v>
      </c>
      <c r="E37" t="s">
        <v>182</v>
      </c>
      <c r="F37" t="s">
        <v>183</v>
      </c>
      <c r="G37" t="s">
        <v>184</v>
      </c>
      <c r="H37" t="s">
        <v>74</v>
      </c>
      <c r="I37">
        <v>5</v>
      </c>
      <c r="J37">
        <v>3</v>
      </c>
      <c r="K37">
        <v>5</v>
      </c>
      <c r="L37">
        <v>4</v>
      </c>
      <c r="M37">
        <v>5</v>
      </c>
      <c r="N37">
        <v>4</v>
      </c>
      <c r="O37">
        <v>4</v>
      </c>
      <c r="P37">
        <v>4</v>
      </c>
      <c r="Q37">
        <v>4</v>
      </c>
      <c r="R37">
        <v>5</v>
      </c>
      <c r="S37">
        <v>5</v>
      </c>
      <c r="T37">
        <v>5</v>
      </c>
      <c r="V37" t="s">
        <v>76</v>
      </c>
      <c r="W37" t="s">
        <v>76</v>
      </c>
      <c r="X37" t="s">
        <v>76</v>
      </c>
      <c r="Y37" t="s">
        <v>76</v>
      </c>
      <c r="Z37" t="s">
        <v>76</v>
      </c>
      <c r="AC37" t="s">
        <v>69</v>
      </c>
      <c r="AD37">
        <v>5</v>
      </c>
      <c r="AE37">
        <v>4</v>
      </c>
      <c r="AF37">
        <v>5</v>
      </c>
      <c r="AG37">
        <v>4</v>
      </c>
      <c r="AH37">
        <v>5</v>
      </c>
      <c r="AI37" t="s">
        <v>70</v>
      </c>
      <c r="AK37">
        <v>4</v>
      </c>
      <c r="AL37">
        <v>5</v>
      </c>
      <c r="AM37">
        <v>5</v>
      </c>
      <c r="AN37">
        <v>4</v>
      </c>
      <c r="AO37">
        <v>4</v>
      </c>
      <c r="AP37">
        <v>3</v>
      </c>
      <c r="AQ37">
        <v>4</v>
      </c>
      <c r="AR37">
        <v>3</v>
      </c>
      <c r="AS37">
        <v>4</v>
      </c>
      <c r="AT37">
        <v>5</v>
      </c>
      <c r="AU37">
        <v>4</v>
      </c>
      <c r="AV37">
        <v>3</v>
      </c>
      <c r="AW37">
        <v>3</v>
      </c>
      <c r="AX37">
        <v>4</v>
      </c>
      <c r="AY37">
        <v>4</v>
      </c>
      <c r="AZ37">
        <v>4</v>
      </c>
      <c r="BA37">
        <v>4</v>
      </c>
      <c r="BB37">
        <v>3</v>
      </c>
      <c r="BC37">
        <v>3</v>
      </c>
      <c r="BD37">
        <v>3</v>
      </c>
      <c r="BE37">
        <v>5</v>
      </c>
      <c r="BF37">
        <v>4</v>
      </c>
      <c r="BG37" t="s">
        <v>136</v>
      </c>
      <c r="BI37" t="s">
        <v>72</v>
      </c>
    </row>
    <row r="38" spans="1:62" x14ac:dyDescent="0.35">
      <c r="A38" t="str">
        <f>IF(H38='Bộ lọc Giảng viên'!$C$5, MAX($A$1:A37)+1, "")</f>
        <v/>
      </c>
      <c r="B38" s="1">
        <v>46111.726693553239</v>
      </c>
      <c r="C38" t="s">
        <v>185</v>
      </c>
      <c r="D38" t="s">
        <v>113</v>
      </c>
      <c r="E38" t="s">
        <v>186</v>
      </c>
      <c r="F38" t="s">
        <v>130</v>
      </c>
      <c r="G38" t="s">
        <v>187</v>
      </c>
      <c r="H38" t="s">
        <v>84</v>
      </c>
      <c r="I38">
        <v>5</v>
      </c>
      <c r="J38">
        <v>5</v>
      </c>
      <c r="K38">
        <v>5</v>
      </c>
      <c r="L38">
        <v>5</v>
      </c>
      <c r="M38">
        <v>5</v>
      </c>
      <c r="N38">
        <v>4</v>
      </c>
      <c r="O38">
        <v>5</v>
      </c>
      <c r="P38">
        <v>5</v>
      </c>
      <c r="Q38">
        <v>5</v>
      </c>
      <c r="R38">
        <v>5</v>
      </c>
      <c r="S38">
        <v>4</v>
      </c>
      <c r="T38">
        <v>5</v>
      </c>
      <c r="V38" t="s">
        <v>75</v>
      </c>
      <c r="W38" t="s">
        <v>75</v>
      </c>
      <c r="X38" t="s">
        <v>75</v>
      </c>
      <c r="Y38" t="s">
        <v>75</v>
      </c>
      <c r="Z38" t="s">
        <v>75</v>
      </c>
      <c r="AB38" t="s">
        <v>188</v>
      </c>
      <c r="AC38" t="s">
        <v>69</v>
      </c>
      <c r="AD38">
        <v>5</v>
      </c>
      <c r="AE38">
        <v>5</v>
      </c>
      <c r="AF38">
        <v>5</v>
      </c>
      <c r="AG38">
        <v>5</v>
      </c>
      <c r="AH38">
        <v>5</v>
      </c>
      <c r="AI38" t="s">
        <v>189</v>
      </c>
      <c r="AJ38" t="s">
        <v>70</v>
      </c>
      <c r="AK38">
        <v>5</v>
      </c>
      <c r="AL38">
        <v>5</v>
      </c>
      <c r="AM38">
        <v>5</v>
      </c>
      <c r="AN38">
        <v>5</v>
      </c>
      <c r="AO38">
        <v>5</v>
      </c>
      <c r="AP38">
        <v>5</v>
      </c>
      <c r="AQ38">
        <v>5</v>
      </c>
      <c r="AR38">
        <v>4</v>
      </c>
      <c r="AS38">
        <v>5</v>
      </c>
      <c r="AT38">
        <v>5</v>
      </c>
      <c r="AU38">
        <v>5</v>
      </c>
      <c r="AV38">
        <v>5</v>
      </c>
      <c r="AW38">
        <v>5</v>
      </c>
      <c r="AX38">
        <v>5</v>
      </c>
      <c r="AY38">
        <v>5</v>
      </c>
      <c r="AZ38">
        <v>5</v>
      </c>
      <c r="BA38">
        <v>5</v>
      </c>
      <c r="BB38">
        <v>5</v>
      </c>
      <c r="BC38">
        <v>5</v>
      </c>
      <c r="BD38">
        <v>5</v>
      </c>
      <c r="BE38">
        <v>5</v>
      </c>
      <c r="BF38">
        <v>5</v>
      </c>
      <c r="BG38" t="s">
        <v>88</v>
      </c>
      <c r="BI38" t="s">
        <v>72</v>
      </c>
    </row>
    <row r="39" spans="1:62" x14ac:dyDescent="0.35">
      <c r="A39" t="str">
        <f>IF(H39='Bộ lọc Giảng viên'!$C$5, MAX($A$1:A38)+1, "")</f>
        <v/>
      </c>
      <c r="B39" s="1">
        <v>46111.730206168977</v>
      </c>
      <c r="C39" t="s">
        <v>185</v>
      </c>
      <c r="D39" t="s">
        <v>113</v>
      </c>
      <c r="E39" t="s">
        <v>186</v>
      </c>
      <c r="F39" t="s">
        <v>130</v>
      </c>
      <c r="G39" t="s">
        <v>131</v>
      </c>
      <c r="H39" t="s">
        <v>96</v>
      </c>
      <c r="I39">
        <v>5</v>
      </c>
      <c r="J39">
        <v>5</v>
      </c>
      <c r="K39">
        <v>5</v>
      </c>
      <c r="L39">
        <v>5</v>
      </c>
      <c r="M39">
        <v>5</v>
      </c>
      <c r="N39">
        <v>4</v>
      </c>
      <c r="O39">
        <v>4</v>
      </c>
      <c r="P39">
        <v>5</v>
      </c>
      <c r="Q39">
        <v>5</v>
      </c>
      <c r="R39">
        <v>5</v>
      </c>
      <c r="S39">
        <v>5</v>
      </c>
      <c r="T39">
        <v>5</v>
      </c>
      <c r="V39" t="s">
        <v>75</v>
      </c>
      <c r="W39" t="s">
        <v>75</v>
      </c>
      <c r="X39" t="s">
        <v>75</v>
      </c>
      <c r="Y39" t="s">
        <v>68</v>
      </c>
      <c r="Z39" t="s">
        <v>75</v>
      </c>
      <c r="AB39" t="s">
        <v>190</v>
      </c>
      <c r="AC39" t="s">
        <v>69</v>
      </c>
      <c r="AD39">
        <v>5</v>
      </c>
      <c r="AE39">
        <v>5</v>
      </c>
      <c r="AF39">
        <v>5</v>
      </c>
      <c r="AG39">
        <v>5</v>
      </c>
      <c r="AH39">
        <v>5</v>
      </c>
      <c r="AI39" t="s">
        <v>189</v>
      </c>
      <c r="AJ39" t="s">
        <v>88</v>
      </c>
      <c r="AK39">
        <v>5</v>
      </c>
      <c r="AL39">
        <v>5</v>
      </c>
      <c r="AM39">
        <v>5</v>
      </c>
      <c r="AN39">
        <v>5</v>
      </c>
      <c r="AO39">
        <v>5</v>
      </c>
      <c r="AP39">
        <v>5</v>
      </c>
      <c r="AQ39">
        <v>5</v>
      </c>
      <c r="AR39">
        <v>4</v>
      </c>
      <c r="AS39">
        <v>5</v>
      </c>
      <c r="AT39">
        <v>5</v>
      </c>
      <c r="AU39">
        <v>5</v>
      </c>
      <c r="AV39">
        <v>5</v>
      </c>
      <c r="AW39">
        <v>5</v>
      </c>
      <c r="AX39">
        <v>5</v>
      </c>
      <c r="AY39">
        <v>5</v>
      </c>
      <c r="AZ39">
        <v>5</v>
      </c>
      <c r="BA39">
        <v>5</v>
      </c>
      <c r="BB39">
        <v>5</v>
      </c>
      <c r="BC39">
        <v>5</v>
      </c>
      <c r="BD39">
        <v>5</v>
      </c>
      <c r="BE39">
        <v>5</v>
      </c>
      <c r="BF39">
        <v>5</v>
      </c>
      <c r="BG39" t="s">
        <v>88</v>
      </c>
      <c r="BI39" t="s">
        <v>72</v>
      </c>
    </row>
    <row r="40" spans="1:62" x14ac:dyDescent="0.35">
      <c r="A40" t="str">
        <f>IF(H40='Bộ lọc Giảng viên'!$C$5, MAX($A$1:A39)+1, "")</f>
        <v/>
      </c>
      <c r="B40" s="1">
        <v>46111.731524328701</v>
      </c>
      <c r="C40" t="s">
        <v>117</v>
      </c>
      <c r="D40" t="s">
        <v>80</v>
      </c>
      <c r="E40" t="s">
        <v>191</v>
      </c>
      <c r="F40" t="s">
        <v>119</v>
      </c>
      <c r="G40" t="s">
        <v>120</v>
      </c>
      <c r="H40" t="s">
        <v>96</v>
      </c>
      <c r="I40">
        <v>3</v>
      </c>
      <c r="J40">
        <v>3</v>
      </c>
      <c r="K40">
        <v>3</v>
      </c>
      <c r="L40">
        <v>3</v>
      </c>
      <c r="M40">
        <v>3</v>
      </c>
      <c r="N40">
        <v>3</v>
      </c>
      <c r="O40">
        <v>3</v>
      </c>
      <c r="P40">
        <v>3</v>
      </c>
      <c r="Q40">
        <v>3</v>
      </c>
      <c r="R40">
        <v>3</v>
      </c>
      <c r="S40">
        <v>3</v>
      </c>
      <c r="T40">
        <v>3</v>
      </c>
      <c r="V40" t="s">
        <v>75</v>
      </c>
      <c r="W40" t="s">
        <v>75</v>
      </c>
      <c r="X40" t="s">
        <v>75</v>
      </c>
      <c r="Y40" t="s">
        <v>75</v>
      </c>
      <c r="Z40" t="s">
        <v>75</v>
      </c>
      <c r="AB40" t="s">
        <v>192</v>
      </c>
      <c r="AC40" t="s">
        <v>106</v>
      </c>
      <c r="AD40">
        <v>4</v>
      </c>
      <c r="AE40">
        <v>4</v>
      </c>
      <c r="AF40">
        <v>4</v>
      </c>
      <c r="AG40">
        <v>4</v>
      </c>
      <c r="AH40">
        <v>4</v>
      </c>
      <c r="AI40" t="s">
        <v>136</v>
      </c>
      <c r="AK40">
        <v>4</v>
      </c>
      <c r="AL40">
        <v>4</v>
      </c>
      <c r="AM40">
        <v>4</v>
      </c>
      <c r="AN40">
        <v>4</v>
      </c>
      <c r="AO40">
        <v>4</v>
      </c>
      <c r="AP40">
        <v>4</v>
      </c>
      <c r="AQ40">
        <v>4</v>
      </c>
      <c r="AR40">
        <v>4</v>
      </c>
      <c r="AS40">
        <v>4</v>
      </c>
      <c r="AT40">
        <v>3</v>
      </c>
      <c r="AU40">
        <v>3</v>
      </c>
      <c r="AV40">
        <v>3</v>
      </c>
      <c r="AW40">
        <v>3</v>
      </c>
      <c r="AX40">
        <v>3</v>
      </c>
      <c r="AY40">
        <v>3</v>
      </c>
      <c r="AZ40">
        <v>3</v>
      </c>
      <c r="BA40">
        <v>3</v>
      </c>
      <c r="BB40">
        <v>3</v>
      </c>
      <c r="BC40">
        <v>3</v>
      </c>
      <c r="BD40">
        <v>3</v>
      </c>
      <c r="BE40">
        <v>3</v>
      </c>
      <c r="BF40">
        <v>3</v>
      </c>
      <c r="BG40" t="s">
        <v>136</v>
      </c>
      <c r="BI40" t="s">
        <v>107</v>
      </c>
    </row>
    <row r="41" spans="1:62" x14ac:dyDescent="0.35">
      <c r="A41" t="str">
        <f>IF(H41='Bộ lọc Giảng viên'!$C$5, MAX($A$1:A40)+1, "")</f>
        <v/>
      </c>
      <c r="B41" s="1">
        <v>46111.732528553242</v>
      </c>
      <c r="C41" t="s">
        <v>185</v>
      </c>
      <c r="D41" t="s">
        <v>113</v>
      </c>
      <c r="E41" t="s">
        <v>186</v>
      </c>
      <c r="F41" t="s">
        <v>130</v>
      </c>
      <c r="G41" t="s">
        <v>131</v>
      </c>
      <c r="H41" t="s">
        <v>193</v>
      </c>
      <c r="I41">
        <v>5</v>
      </c>
      <c r="J41">
        <v>5</v>
      </c>
      <c r="K41">
        <v>5</v>
      </c>
      <c r="L41">
        <v>5</v>
      </c>
      <c r="M41">
        <v>5</v>
      </c>
      <c r="N41">
        <v>5</v>
      </c>
      <c r="O41">
        <v>5</v>
      </c>
      <c r="P41">
        <v>5</v>
      </c>
      <c r="Q41">
        <v>5</v>
      </c>
      <c r="R41">
        <v>5</v>
      </c>
      <c r="S41">
        <v>5</v>
      </c>
      <c r="T41">
        <v>5</v>
      </c>
      <c r="V41" t="s">
        <v>75</v>
      </c>
      <c r="W41" t="s">
        <v>75</v>
      </c>
      <c r="X41" t="s">
        <v>75</v>
      </c>
      <c r="Y41" t="s">
        <v>75</v>
      </c>
      <c r="Z41" t="s">
        <v>75</v>
      </c>
      <c r="AC41" t="s">
        <v>111</v>
      </c>
      <c r="AD41">
        <v>5</v>
      </c>
      <c r="AE41">
        <v>5</v>
      </c>
      <c r="AF41">
        <v>5</v>
      </c>
      <c r="AG41">
        <v>4</v>
      </c>
      <c r="AH41">
        <v>5</v>
      </c>
      <c r="AI41" t="s">
        <v>88</v>
      </c>
      <c r="AK41">
        <v>5</v>
      </c>
      <c r="AL41">
        <v>5</v>
      </c>
      <c r="AM41">
        <v>5</v>
      </c>
      <c r="AN41">
        <v>5</v>
      </c>
      <c r="AO41">
        <v>5</v>
      </c>
      <c r="AP41">
        <v>5</v>
      </c>
      <c r="AQ41">
        <v>5</v>
      </c>
      <c r="AR41">
        <v>4</v>
      </c>
      <c r="AS41">
        <v>5</v>
      </c>
      <c r="AT41">
        <v>5</v>
      </c>
      <c r="AU41">
        <v>5</v>
      </c>
      <c r="AV41">
        <v>5</v>
      </c>
      <c r="AW41">
        <v>5</v>
      </c>
      <c r="AX41">
        <v>5</v>
      </c>
      <c r="AY41">
        <v>5</v>
      </c>
      <c r="AZ41">
        <v>5</v>
      </c>
      <c r="BA41">
        <v>5</v>
      </c>
      <c r="BB41">
        <v>5</v>
      </c>
      <c r="BC41">
        <v>5</v>
      </c>
      <c r="BD41">
        <v>5</v>
      </c>
      <c r="BE41">
        <v>5</v>
      </c>
      <c r="BF41">
        <v>5</v>
      </c>
      <c r="BG41" t="s">
        <v>88</v>
      </c>
      <c r="BI41" t="s">
        <v>72</v>
      </c>
    </row>
    <row r="42" spans="1:62" x14ac:dyDescent="0.35">
      <c r="A42">
        <f>IF(H42='Bộ lọc Giảng viên'!$C$5, MAX($A$1:A41)+1, "")</f>
        <v>3</v>
      </c>
      <c r="B42" s="1">
        <v>46111.734928541657</v>
      </c>
      <c r="C42" t="s">
        <v>194</v>
      </c>
      <c r="D42" t="s">
        <v>80</v>
      </c>
      <c r="E42" t="s">
        <v>195</v>
      </c>
      <c r="F42" t="s">
        <v>196</v>
      </c>
      <c r="G42" t="s">
        <v>197</v>
      </c>
      <c r="H42" t="s">
        <v>74</v>
      </c>
      <c r="I42">
        <v>5</v>
      </c>
      <c r="J42">
        <v>5</v>
      </c>
      <c r="K42">
        <v>4</v>
      </c>
      <c r="L42">
        <v>5</v>
      </c>
      <c r="M42">
        <v>5</v>
      </c>
      <c r="N42">
        <v>4</v>
      </c>
      <c r="O42">
        <v>4</v>
      </c>
      <c r="P42">
        <v>5</v>
      </c>
      <c r="Q42">
        <v>5</v>
      </c>
      <c r="R42">
        <v>4</v>
      </c>
      <c r="S42">
        <v>4</v>
      </c>
      <c r="T42">
        <v>4</v>
      </c>
      <c r="V42" t="s">
        <v>75</v>
      </c>
      <c r="W42" t="s">
        <v>75</v>
      </c>
      <c r="X42" t="s">
        <v>68</v>
      </c>
      <c r="Y42" t="s">
        <v>68</v>
      </c>
      <c r="Z42" t="s">
        <v>68</v>
      </c>
      <c r="AC42" t="s">
        <v>111</v>
      </c>
      <c r="AD42">
        <v>4</v>
      </c>
      <c r="AE42">
        <v>5</v>
      </c>
      <c r="AF42">
        <v>5</v>
      </c>
      <c r="AG42">
        <v>4</v>
      </c>
      <c r="AH42">
        <v>4</v>
      </c>
      <c r="AI42" t="s">
        <v>88</v>
      </c>
      <c r="AK42">
        <v>5</v>
      </c>
      <c r="AL42">
        <v>5</v>
      </c>
      <c r="AM42">
        <v>5</v>
      </c>
      <c r="AN42">
        <v>5</v>
      </c>
      <c r="AO42">
        <v>5</v>
      </c>
      <c r="AP42">
        <v>5</v>
      </c>
      <c r="AQ42">
        <v>5</v>
      </c>
      <c r="AR42">
        <v>5</v>
      </c>
      <c r="AS42">
        <v>5</v>
      </c>
      <c r="AT42">
        <v>5</v>
      </c>
      <c r="AU42">
        <v>3</v>
      </c>
      <c r="AV42">
        <v>2</v>
      </c>
      <c r="AW42">
        <v>3</v>
      </c>
      <c r="AX42">
        <v>4</v>
      </c>
      <c r="AY42">
        <v>3</v>
      </c>
      <c r="AZ42">
        <v>2</v>
      </c>
      <c r="BA42">
        <v>1</v>
      </c>
      <c r="BB42">
        <v>3</v>
      </c>
      <c r="BC42">
        <v>1</v>
      </c>
      <c r="BD42">
        <v>3</v>
      </c>
      <c r="BE42">
        <v>1</v>
      </c>
      <c r="BF42">
        <v>1</v>
      </c>
      <c r="BG42" t="s">
        <v>88</v>
      </c>
      <c r="BI42" t="s">
        <v>72</v>
      </c>
    </row>
    <row r="43" spans="1:62" x14ac:dyDescent="0.35">
      <c r="A43" t="str">
        <f>IF(H43='Bộ lọc Giảng viên'!$C$5, MAX($A$1:A42)+1, "")</f>
        <v/>
      </c>
      <c r="B43" s="1">
        <v>46111.756625428243</v>
      </c>
      <c r="C43" t="s">
        <v>132</v>
      </c>
      <c r="D43" t="s">
        <v>63</v>
      </c>
      <c r="E43" t="s">
        <v>198</v>
      </c>
      <c r="H43" t="s">
        <v>193</v>
      </c>
      <c r="I43">
        <v>5</v>
      </c>
      <c r="J43">
        <v>5</v>
      </c>
      <c r="K43">
        <v>5</v>
      </c>
      <c r="L43">
        <v>5</v>
      </c>
      <c r="M43">
        <v>4</v>
      </c>
      <c r="N43">
        <v>4</v>
      </c>
      <c r="O43">
        <v>4</v>
      </c>
      <c r="P43">
        <v>5</v>
      </c>
      <c r="Q43">
        <v>5</v>
      </c>
      <c r="R43">
        <v>4</v>
      </c>
      <c r="S43">
        <v>4</v>
      </c>
      <c r="T43">
        <v>5</v>
      </c>
      <c r="V43" t="s">
        <v>75</v>
      </c>
      <c r="W43" t="s">
        <v>75</v>
      </c>
      <c r="X43" t="s">
        <v>68</v>
      </c>
      <c r="Y43" t="s">
        <v>75</v>
      </c>
      <c r="Z43" t="s">
        <v>75</v>
      </c>
      <c r="AB43" t="s">
        <v>199</v>
      </c>
      <c r="AC43" t="s">
        <v>111</v>
      </c>
      <c r="AD43">
        <v>4</v>
      </c>
      <c r="AE43">
        <v>3</v>
      </c>
      <c r="AF43">
        <v>4</v>
      </c>
      <c r="AG43">
        <v>4</v>
      </c>
      <c r="AH43">
        <v>3</v>
      </c>
      <c r="AI43" t="s">
        <v>70</v>
      </c>
      <c r="AK43">
        <v>4</v>
      </c>
      <c r="AL43">
        <v>3</v>
      </c>
      <c r="AM43">
        <v>3</v>
      </c>
      <c r="AN43">
        <v>2</v>
      </c>
      <c r="AO43">
        <v>3</v>
      </c>
      <c r="AP43">
        <v>3</v>
      </c>
      <c r="AQ43">
        <v>2</v>
      </c>
      <c r="AR43">
        <v>3</v>
      </c>
      <c r="AS43">
        <v>3</v>
      </c>
      <c r="AT43">
        <v>4</v>
      </c>
      <c r="AU43">
        <v>3</v>
      </c>
      <c r="AV43">
        <v>3</v>
      </c>
      <c r="AW43">
        <v>4</v>
      </c>
      <c r="AX43">
        <v>4</v>
      </c>
      <c r="AY43">
        <v>3</v>
      </c>
      <c r="AZ43">
        <v>4</v>
      </c>
      <c r="BA43">
        <v>4</v>
      </c>
      <c r="BB43">
        <v>4</v>
      </c>
      <c r="BC43">
        <v>4</v>
      </c>
      <c r="BD43">
        <v>4</v>
      </c>
      <c r="BE43">
        <v>4</v>
      </c>
      <c r="BF43">
        <v>4</v>
      </c>
      <c r="BG43" t="s">
        <v>70</v>
      </c>
      <c r="BH43" t="s">
        <v>200</v>
      </c>
      <c r="BI43" t="s">
        <v>107</v>
      </c>
      <c r="BJ43" t="s">
        <v>201</v>
      </c>
    </row>
    <row r="44" spans="1:62" x14ac:dyDescent="0.35">
      <c r="A44" t="str">
        <f>IF(H44='Bộ lọc Giảng viên'!$C$5, MAX($A$1:A43)+1, "")</f>
        <v/>
      </c>
      <c r="B44" s="1">
        <v>46111.878988668977</v>
      </c>
      <c r="C44" t="s">
        <v>202</v>
      </c>
      <c r="D44" t="s">
        <v>80</v>
      </c>
      <c r="E44" t="s">
        <v>203</v>
      </c>
      <c r="F44" t="s">
        <v>104</v>
      </c>
      <c r="G44" t="s">
        <v>105</v>
      </c>
      <c r="H44" t="s">
        <v>193</v>
      </c>
      <c r="I44">
        <v>4</v>
      </c>
      <c r="J44">
        <v>4</v>
      </c>
      <c r="K44">
        <v>4</v>
      </c>
      <c r="L44">
        <v>4</v>
      </c>
      <c r="M44">
        <v>5</v>
      </c>
      <c r="N44">
        <v>4</v>
      </c>
      <c r="O44">
        <v>4</v>
      </c>
      <c r="P44">
        <v>4</v>
      </c>
      <c r="Q44">
        <v>4</v>
      </c>
      <c r="R44">
        <v>4</v>
      </c>
      <c r="S44">
        <v>4</v>
      </c>
      <c r="T44">
        <v>4</v>
      </c>
      <c r="V44" t="s">
        <v>68</v>
      </c>
      <c r="W44" t="s">
        <v>68</v>
      </c>
      <c r="X44" t="s">
        <v>75</v>
      </c>
      <c r="Y44" t="s">
        <v>75</v>
      </c>
      <c r="Z44" t="s">
        <v>75</v>
      </c>
      <c r="AC44" t="s">
        <v>69</v>
      </c>
      <c r="AD44">
        <v>4</v>
      </c>
      <c r="AE44">
        <v>4</v>
      </c>
      <c r="AF44">
        <v>4</v>
      </c>
      <c r="AG44">
        <v>4</v>
      </c>
      <c r="AH44">
        <v>4</v>
      </c>
      <c r="AI44" t="s">
        <v>70</v>
      </c>
      <c r="AK44">
        <v>4</v>
      </c>
      <c r="AL44">
        <v>4</v>
      </c>
      <c r="AM44">
        <v>4</v>
      </c>
      <c r="AN44">
        <v>4</v>
      </c>
      <c r="AO44">
        <v>4</v>
      </c>
      <c r="AP44">
        <v>4</v>
      </c>
      <c r="AQ44">
        <v>4</v>
      </c>
      <c r="AR44">
        <v>3</v>
      </c>
      <c r="AS44">
        <v>4</v>
      </c>
      <c r="AT44">
        <v>4</v>
      </c>
      <c r="AU44">
        <v>4</v>
      </c>
      <c r="AV44">
        <v>4</v>
      </c>
      <c r="AW44">
        <v>4</v>
      </c>
      <c r="AX44">
        <v>4</v>
      </c>
      <c r="AY44">
        <v>4</v>
      </c>
      <c r="AZ44">
        <v>4</v>
      </c>
      <c r="BA44">
        <v>4</v>
      </c>
      <c r="BB44">
        <v>4</v>
      </c>
      <c r="BC44">
        <v>3</v>
      </c>
      <c r="BD44">
        <v>3</v>
      </c>
      <c r="BE44">
        <v>4</v>
      </c>
      <c r="BF44">
        <v>4</v>
      </c>
      <c r="BG44" t="s">
        <v>70</v>
      </c>
      <c r="BI44" t="s">
        <v>107</v>
      </c>
    </row>
    <row r="45" spans="1:62" x14ac:dyDescent="0.35">
      <c r="A45">
        <f>IF(H45='Bộ lọc Giảng viên'!$C$5, MAX($A$1:A44)+1, "")</f>
        <v>4</v>
      </c>
      <c r="B45" s="1">
        <v>46111.880890243046</v>
      </c>
      <c r="C45" t="s">
        <v>202</v>
      </c>
      <c r="D45" t="s">
        <v>80</v>
      </c>
      <c r="E45" t="s">
        <v>204</v>
      </c>
      <c r="F45" t="s">
        <v>104</v>
      </c>
      <c r="G45" t="s">
        <v>105</v>
      </c>
      <c r="H45" t="s">
        <v>74</v>
      </c>
      <c r="I45">
        <v>4</v>
      </c>
      <c r="J45">
        <v>4</v>
      </c>
      <c r="K45">
        <v>5</v>
      </c>
      <c r="L45">
        <v>5</v>
      </c>
      <c r="M45">
        <v>5</v>
      </c>
      <c r="N45">
        <v>4</v>
      </c>
      <c r="O45">
        <v>4</v>
      </c>
      <c r="P45">
        <v>5</v>
      </c>
      <c r="Q45">
        <v>5</v>
      </c>
      <c r="R45">
        <v>5</v>
      </c>
      <c r="S45">
        <v>4</v>
      </c>
      <c r="T45">
        <v>4</v>
      </c>
      <c r="V45" t="s">
        <v>68</v>
      </c>
      <c r="W45" t="s">
        <v>68</v>
      </c>
      <c r="X45" t="s">
        <v>75</v>
      </c>
      <c r="Y45" t="s">
        <v>75</v>
      </c>
      <c r="Z45" t="s">
        <v>75</v>
      </c>
      <c r="AC45" t="s">
        <v>69</v>
      </c>
      <c r="AD45">
        <v>4</v>
      </c>
      <c r="AE45">
        <v>4</v>
      </c>
      <c r="AF45">
        <v>4</v>
      </c>
      <c r="AG45">
        <v>4</v>
      </c>
      <c r="AH45">
        <v>4</v>
      </c>
      <c r="AI45" t="s">
        <v>70</v>
      </c>
      <c r="AK45">
        <v>4</v>
      </c>
      <c r="AL45">
        <v>4</v>
      </c>
      <c r="AM45">
        <v>4</v>
      </c>
      <c r="AN45">
        <v>4</v>
      </c>
      <c r="AO45">
        <v>4</v>
      </c>
      <c r="AP45">
        <v>4</v>
      </c>
      <c r="AQ45">
        <v>4</v>
      </c>
      <c r="AR45">
        <v>3</v>
      </c>
      <c r="AS45">
        <v>4</v>
      </c>
      <c r="AT45">
        <v>4</v>
      </c>
      <c r="AU45">
        <v>4</v>
      </c>
      <c r="AV45">
        <v>4</v>
      </c>
      <c r="AW45">
        <v>4</v>
      </c>
      <c r="AX45">
        <v>4</v>
      </c>
      <c r="AY45">
        <v>4</v>
      </c>
      <c r="AZ45">
        <v>4</v>
      </c>
      <c r="BA45">
        <v>4</v>
      </c>
      <c r="BB45">
        <v>4</v>
      </c>
      <c r="BC45">
        <v>3</v>
      </c>
      <c r="BD45">
        <v>4</v>
      </c>
      <c r="BE45">
        <v>4</v>
      </c>
      <c r="BF45">
        <v>4</v>
      </c>
      <c r="BG45" t="s">
        <v>70</v>
      </c>
      <c r="BI45" t="s">
        <v>107</v>
      </c>
    </row>
    <row r="46" spans="1:62" x14ac:dyDescent="0.35">
      <c r="A46">
        <f>IF(H46='Bộ lọc Giảng viên'!$C$5, MAX($A$1:A45)+1, "")</f>
        <v>5</v>
      </c>
      <c r="B46" s="1">
        <v>46112.623199305563</v>
      </c>
      <c r="C46" t="s">
        <v>98</v>
      </c>
      <c r="D46" t="s">
        <v>80</v>
      </c>
      <c r="E46" t="s">
        <v>146</v>
      </c>
      <c r="F46" t="s">
        <v>100</v>
      </c>
      <c r="G46" t="s">
        <v>101</v>
      </c>
      <c r="H46" t="s">
        <v>74</v>
      </c>
      <c r="I46">
        <v>5</v>
      </c>
      <c r="J46">
        <v>4</v>
      </c>
      <c r="K46">
        <v>4</v>
      </c>
      <c r="L46">
        <v>5</v>
      </c>
      <c r="M46">
        <v>5</v>
      </c>
      <c r="N46">
        <v>4</v>
      </c>
      <c r="O46">
        <v>4</v>
      </c>
      <c r="P46">
        <v>5</v>
      </c>
      <c r="Q46">
        <v>5</v>
      </c>
      <c r="R46">
        <v>4</v>
      </c>
      <c r="S46">
        <v>4</v>
      </c>
      <c r="T46">
        <v>4</v>
      </c>
      <c r="V46" t="s">
        <v>68</v>
      </c>
      <c r="W46" t="s">
        <v>68</v>
      </c>
      <c r="X46" t="s">
        <v>75</v>
      </c>
      <c r="Y46" t="s">
        <v>68</v>
      </c>
      <c r="Z46" t="s">
        <v>68</v>
      </c>
      <c r="AC46" t="s">
        <v>69</v>
      </c>
      <c r="AD46">
        <v>5</v>
      </c>
      <c r="AE46">
        <v>5</v>
      </c>
      <c r="AF46">
        <v>5</v>
      </c>
      <c r="AG46">
        <v>5</v>
      </c>
      <c r="AH46">
        <v>5</v>
      </c>
      <c r="AI46" t="s">
        <v>88</v>
      </c>
      <c r="AK46">
        <v>4</v>
      </c>
      <c r="AL46">
        <v>4</v>
      </c>
      <c r="AM46">
        <v>4</v>
      </c>
      <c r="AN46">
        <v>5</v>
      </c>
      <c r="AO46">
        <v>4</v>
      </c>
      <c r="AP46">
        <v>4</v>
      </c>
      <c r="AQ46">
        <v>5</v>
      </c>
      <c r="AR46">
        <v>5</v>
      </c>
      <c r="AS46">
        <v>5</v>
      </c>
      <c r="AT46">
        <v>5</v>
      </c>
      <c r="AU46">
        <v>5</v>
      </c>
      <c r="AV46">
        <v>5</v>
      </c>
      <c r="AW46">
        <v>5</v>
      </c>
      <c r="AX46">
        <v>4</v>
      </c>
      <c r="AY46">
        <v>4</v>
      </c>
      <c r="AZ46">
        <v>5</v>
      </c>
      <c r="BA46">
        <v>5</v>
      </c>
      <c r="BB46">
        <v>5</v>
      </c>
      <c r="BC46">
        <v>5</v>
      </c>
      <c r="BD46">
        <v>5</v>
      </c>
      <c r="BE46">
        <v>5</v>
      </c>
      <c r="BF46">
        <v>5</v>
      </c>
      <c r="BG46" t="s">
        <v>88</v>
      </c>
      <c r="BI46" t="s">
        <v>72</v>
      </c>
    </row>
    <row r="47" spans="1:62" x14ac:dyDescent="0.35">
      <c r="A47" t="str">
        <f>IF(H47='Bộ lọc Giảng viên'!$C$5, MAX($A$1:A46)+1, "")</f>
        <v/>
      </c>
      <c r="B47" s="1">
        <v>46112.929644641197</v>
      </c>
      <c r="C47" t="s">
        <v>62</v>
      </c>
      <c r="D47" t="s">
        <v>63</v>
      </c>
      <c r="E47" t="s">
        <v>205</v>
      </c>
      <c r="F47" t="s">
        <v>65</v>
      </c>
      <c r="G47" t="s">
        <v>66</v>
      </c>
      <c r="H47" t="s">
        <v>96</v>
      </c>
      <c r="I47">
        <v>4</v>
      </c>
      <c r="J47">
        <v>4</v>
      </c>
      <c r="K47">
        <v>5</v>
      </c>
      <c r="L47">
        <v>4</v>
      </c>
      <c r="M47">
        <v>5</v>
      </c>
      <c r="N47">
        <v>4</v>
      </c>
      <c r="O47">
        <v>5</v>
      </c>
      <c r="P47">
        <v>4</v>
      </c>
      <c r="Q47">
        <v>5</v>
      </c>
      <c r="R47">
        <v>5</v>
      </c>
      <c r="S47">
        <v>4</v>
      </c>
      <c r="T47">
        <v>5</v>
      </c>
      <c r="V47" t="s">
        <v>68</v>
      </c>
      <c r="W47" t="s">
        <v>68</v>
      </c>
      <c r="X47" t="s">
        <v>68</v>
      </c>
      <c r="Y47" t="s">
        <v>68</v>
      </c>
      <c r="Z47" t="s">
        <v>68</v>
      </c>
      <c r="AC47" t="s">
        <v>69</v>
      </c>
      <c r="AD47">
        <v>5</v>
      </c>
      <c r="AE47">
        <v>5</v>
      </c>
      <c r="AF47">
        <v>5</v>
      </c>
      <c r="AG47">
        <v>4</v>
      </c>
      <c r="AH47">
        <v>5</v>
      </c>
      <c r="AI47" t="s">
        <v>88</v>
      </c>
      <c r="AK47">
        <v>4</v>
      </c>
      <c r="AL47">
        <v>3</v>
      </c>
      <c r="AM47">
        <v>4</v>
      </c>
      <c r="AN47">
        <v>3</v>
      </c>
      <c r="AO47">
        <v>4</v>
      </c>
      <c r="AP47">
        <v>3</v>
      </c>
      <c r="AQ47">
        <v>4</v>
      </c>
      <c r="AR47">
        <v>3</v>
      </c>
      <c r="AS47">
        <v>3</v>
      </c>
      <c r="AT47">
        <v>4</v>
      </c>
      <c r="AU47">
        <v>4</v>
      </c>
      <c r="AV47">
        <v>3</v>
      </c>
      <c r="AW47">
        <v>3</v>
      </c>
      <c r="AX47">
        <v>4</v>
      </c>
      <c r="AY47">
        <v>3</v>
      </c>
      <c r="AZ47">
        <v>3</v>
      </c>
      <c r="BA47">
        <v>3</v>
      </c>
      <c r="BB47">
        <v>4</v>
      </c>
      <c r="BC47">
        <v>3</v>
      </c>
      <c r="BD47">
        <v>3</v>
      </c>
      <c r="BE47">
        <v>4</v>
      </c>
      <c r="BF47">
        <v>3</v>
      </c>
      <c r="BG47" t="s">
        <v>136</v>
      </c>
      <c r="BI47" t="s">
        <v>72</v>
      </c>
    </row>
    <row r="48" spans="1:62" x14ac:dyDescent="0.35">
      <c r="A48" t="str">
        <f>IF(H48='Bộ lọc Giảng viên'!$C$5, MAX($A$1:A47)+1, "")</f>
        <v/>
      </c>
      <c r="B48" s="1">
        <v>46113.812149953701</v>
      </c>
      <c r="C48" t="s">
        <v>79</v>
      </c>
      <c r="D48" t="s">
        <v>80</v>
      </c>
      <c r="E48" t="s">
        <v>206</v>
      </c>
      <c r="F48" t="s">
        <v>82</v>
      </c>
      <c r="G48" t="s">
        <v>83</v>
      </c>
      <c r="H48" t="s">
        <v>193</v>
      </c>
      <c r="I48">
        <v>5</v>
      </c>
      <c r="J48">
        <v>5</v>
      </c>
      <c r="K48">
        <v>5</v>
      </c>
      <c r="L48">
        <v>5</v>
      </c>
      <c r="M48">
        <v>5</v>
      </c>
      <c r="N48">
        <v>5</v>
      </c>
      <c r="O48">
        <v>5</v>
      </c>
      <c r="P48">
        <v>5</v>
      </c>
      <c r="Q48">
        <v>5</v>
      </c>
      <c r="R48">
        <v>5</v>
      </c>
      <c r="S48">
        <v>5</v>
      </c>
      <c r="T48">
        <v>5</v>
      </c>
      <c r="V48" t="s">
        <v>68</v>
      </c>
      <c r="W48" t="s">
        <v>75</v>
      </c>
      <c r="X48" t="s">
        <v>68</v>
      </c>
      <c r="Y48" t="s">
        <v>68</v>
      </c>
      <c r="Z48" t="s">
        <v>75</v>
      </c>
      <c r="AC48" t="s">
        <v>69</v>
      </c>
      <c r="AD48">
        <v>5</v>
      </c>
      <c r="AE48">
        <v>4</v>
      </c>
      <c r="AF48">
        <v>4</v>
      </c>
      <c r="AG48">
        <v>5</v>
      </c>
      <c r="AH48">
        <v>4</v>
      </c>
      <c r="AI48" t="s">
        <v>70</v>
      </c>
      <c r="AK48">
        <v>4</v>
      </c>
      <c r="AL48">
        <v>4</v>
      </c>
      <c r="AM48">
        <v>5</v>
      </c>
      <c r="AN48">
        <v>5</v>
      </c>
      <c r="AO48">
        <v>5</v>
      </c>
      <c r="AP48">
        <v>4</v>
      </c>
      <c r="AQ48">
        <v>5</v>
      </c>
      <c r="AR48">
        <v>4</v>
      </c>
      <c r="AS48">
        <v>4</v>
      </c>
      <c r="AT48">
        <v>5</v>
      </c>
      <c r="AU48">
        <v>5</v>
      </c>
      <c r="AV48">
        <v>5</v>
      </c>
      <c r="AW48">
        <v>4</v>
      </c>
      <c r="AX48">
        <v>5</v>
      </c>
      <c r="AY48">
        <v>5</v>
      </c>
      <c r="AZ48">
        <v>5</v>
      </c>
      <c r="BA48">
        <v>4</v>
      </c>
      <c r="BB48">
        <v>4</v>
      </c>
      <c r="BC48">
        <v>5</v>
      </c>
      <c r="BD48">
        <v>5</v>
      </c>
      <c r="BE48">
        <v>5</v>
      </c>
      <c r="BF48">
        <v>5</v>
      </c>
      <c r="BG48" t="s">
        <v>70</v>
      </c>
      <c r="BI48" t="s">
        <v>72</v>
      </c>
    </row>
    <row r="49" spans="1:62" x14ac:dyDescent="0.35">
      <c r="A49">
        <f>IF(H49='Bộ lọc Giảng viên'!$C$5, MAX($A$1:A48)+1, "")</f>
        <v>6</v>
      </c>
      <c r="B49" s="1">
        <v>46113.814257939812</v>
      </c>
      <c r="C49" t="s">
        <v>79</v>
      </c>
      <c r="D49" t="s">
        <v>80</v>
      </c>
      <c r="E49" t="s">
        <v>207</v>
      </c>
      <c r="F49" t="s">
        <v>82</v>
      </c>
      <c r="G49" t="s">
        <v>83</v>
      </c>
      <c r="H49" t="s">
        <v>74</v>
      </c>
      <c r="I49">
        <v>5</v>
      </c>
      <c r="J49">
        <v>5</v>
      </c>
      <c r="K49">
        <v>5</v>
      </c>
      <c r="L49">
        <v>5</v>
      </c>
      <c r="M49">
        <v>5</v>
      </c>
      <c r="N49">
        <v>5</v>
      </c>
      <c r="O49">
        <v>5</v>
      </c>
      <c r="P49">
        <v>5</v>
      </c>
      <c r="Q49">
        <v>5</v>
      </c>
      <c r="R49">
        <v>5</v>
      </c>
      <c r="S49">
        <v>5</v>
      </c>
      <c r="T49">
        <v>5</v>
      </c>
      <c r="V49" t="s">
        <v>68</v>
      </c>
      <c r="W49" t="s">
        <v>68</v>
      </c>
      <c r="X49" t="s">
        <v>75</v>
      </c>
      <c r="Y49" t="s">
        <v>68</v>
      </c>
      <c r="Z49" t="s">
        <v>68</v>
      </c>
      <c r="AC49" t="s">
        <v>69</v>
      </c>
      <c r="AD49">
        <v>5</v>
      </c>
      <c r="AE49">
        <v>4</v>
      </c>
      <c r="AF49">
        <v>5</v>
      </c>
      <c r="AG49">
        <v>4</v>
      </c>
      <c r="AH49">
        <v>5</v>
      </c>
      <c r="AI49" t="s">
        <v>70</v>
      </c>
      <c r="AK49">
        <v>4</v>
      </c>
      <c r="AL49">
        <v>4</v>
      </c>
      <c r="AM49">
        <v>5</v>
      </c>
      <c r="AN49">
        <v>5</v>
      </c>
      <c r="AO49">
        <v>4</v>
      </c>
      <c r="AP49">
        <v>4</v>
      </c>
      <c r="AQ49">
        <v>4</v>
      </c>
      <c r="AR49">
        <v>4</v>
      </c>
      <c r="AS49">
        <v>5</v>
      </c>
      <c r="AT49">
        <v>5</v>
      </c>
      <c r="AU49">
        <v>4</v>
      </c>
      <c r="AV49">
        <v>4</v>
      </c>
      <c r="AW49">
        <v>4</v>
      </c>
      <c r="AX49">
        <v>5</v>
      </c>
      <c r="AY49">
        <v>5</v>
      </c>
      <c r="AZ49">
        <v>5</v>
      </c>
      <c r="BA49">
        <v>5</v>
      </c>
      <c r="BB49">
        <v>4</v>
      </c>
      <c r="BC49">
        <v>4</v>
      </c>
      <c r="BD49">
        <v>5</v>
      </c>
      <c r="BE49">
        <v>5</v>
      </c>
      <c r="BF49">
        <v>4</v>
      </c>
      <c r="BG49" t="s">
        <v>70</v>
      </c>
      <c r="BI49" t="s">
        <v>72</v>
      </c>
    </row>
    <row r="50" spans="1:62" x14ac:dyDescent="0.35">
      <c r="A50" t="str">
        <f>IF(H50='Bộ lọc Giảng viên'!$C$5, MAX($A$1:A49)+1, "")</f>
        <v/>
      </c>
      <c r="B50" s="1">
        <v>46113.815618368048</v>
      </c>
      <c r="C50" t="s">
        <v>79</v>
      </c>
      <c r="D50" t="s">
        <v>80</v>
      </c>
      <c r="E50" t="s">
        <v>207</v>
      </c>
      <c r="F50" t="s">
        <v>82</v>
      </c>
      <c r="G50" t="s">
        <v>83</v>
      </c>
      <c r="H50" t="s">
        <v>78</v>
      </c>
      <c r="I50">
        <v>5</v>
      </c>
      <c r="J50">
        <v>5</v>
      </c>
      <c r="K50">
        <v>5</v>
      </c>
      <c r="L50">
        <v>5</v>
      </c>
      <c r="M50">
        <v>5</v>
      </c>
      <c r="N50">
        <v>5</v>
      </c>
      <c r="O50">
        <v>5</v>
      </c>
      <c r="P50">
        <v>5</v>
      </c>
      <c r="Q50">
        <v>5</v>
      </c>
      <c r="R50">
        <v>5</v>
      </c>
      <c r="S50">
        <v>5</v>
      </c>
      <c r="T50">
        <v>5</v>
      </c>
      <c r="V50" t="s">
        <v>68</v>
      </c>
      <c r="W50" t="s">
        <v>75</v>
      </c>
      <c r="X50" t="s">
        <v>68</v>
      </c>
      <c r="Y50" t="s">
        <v>68</v>
      </c>
      <c r="Z50" t="s">
        <v>75</v>
      </c>
      <c r="AC50" t="s">
        <v>69</v>
      </c>
      <c r="AD50">
        <v>5</v>
      </c>
      <c r="AE50">
        <v>4</v>
      </c>
      <c r="AF50">
        <v>5</v>
      </c>
      <c r="AG50">
        <v>4</v>
      </c>
      <c r="AH50">
        <v>5</v>
      </c>
      <c r="AI50" t="s">
        <v>70</v>
      </c>
      <c r="AK50">
        <v>5</v>
      </c>
      <c r="AL50">
        <v>5</v>
      </c>
      <c r="AM50">
        <v>5</v>
      </c>
      <c r="AN50">
        <v>4</v>
      </c>
      <c r="AO50">
        <v>4</v>
      </c>
      <c r="AP50">
        <v>5</v>
      </c>
      <c r="AQ50">
        <v>5</v>
      </c>
      <c r="AR50">
        <v>5</v>
      </c>
      <c r="AS50">
        <v>4</v>
      </c>
      <c r="AT50">
        <v>4</v>
      </c>
      <c r="AU50">
        <v>4</v>
      </c>
      <c r="AV50">
        <v>5</v>
      </c>
      <c r="AW50">
        <v>5</v>
      </c>
      <c r="AX50">
        <v>5</v>
      </c>
      <c r="AY50">
        <v>4</v>
      </c>
      <c r="AZ50">
        <v>5</v>
      </c>
      <c r="BA50">
        <v>5</v>
      </c>
      <c r="BB50">
        <v>4</v>
      </c>
      <c r="BC50">
        <v>4</v>
      </c>
      <c r="BD50">
        <v>5</v>
      </c>
      <c r="BE50">
        <v>5</v>
      </c>
      <c r="BF50">
        <v>4</v>
      </c>
      <c r="BG50" t="s">
        <v>70</v>
      </c>
      <c r="BI50" t="s">
        <v>72</v>
      </c>
    </row>
    <row r="51" spans="1:62" x14ac:dyDescent="0.35">
      <c r="A51" t="str">
        <f>IF(H51='Bộ lọc Giảng viên'!$C$5, MAX($A$1:A50)+1, "")</f>
        <v/>
      </c>
      <c r="B51" s="1">
        <v>46113.819336909721</v>
      </c>
      <c r="C51" t="s">
        <v>79</v>
      </c>
      <c r="D51" t="s">
        <v>80</v>
      </c>
      <c r="E51" t="s">
        <v>208</v>
      </c>
      <c r="F51" t="s">
        <v>82</v>
      </c>
      <c r="G51" t="s">
        <v>83</v>
      </c>
      <c r="H51" t="s">
        <v>67</v>
      </c>
      <c r="I51">
        <v>5</v>
      </c>
      <c r="J51">
        <v>5</v>
      </c>
      <c r="K51">
        <v>5</v>
      </c>
      <c r="L51">
        <v>5</v>
      </c>
      <c r="M51">
        <v>5</v>
      </c>
      <c r="N51">
        <v>5</v>
      </c>
      <c r="O51">
        <v>5</v>
      </c>
      <c r="P51">
        <v>5</v>
      </c>
      <c r="Q51">
        <v>5</v>
      </c>
      <c r="R51">
        <v>5</v>
      </c>
      <c r="S51">
        <v>5</v>
      </c>
      <c r="T51">
        <v>5</v>
      </c>
      <c r="V51" t="s">
        <v>68</v>
      </c>
      <c r="W51" t="s">
        <v>68</v>
      </c>
      <c r="X51" t="s">
        <v>75</v>
      </c>
      <c r="Y51" t="s">
        <v>68</v>
      </c>
      <c r="Z51" t="s">
        <v>68</v>
      </c>
      <c r="AC51" t="s">
        <v>69</v>
      </c>
      <c r="AD51">
        <v>5</v>
      </c>
      <c r="AE51">
        <v>4</v>
      </c>
      <c r="AF51">
        <v>5</v>
      </c>
      <c r="AG51">
        <v>5</v>
      </c>
      <c r="AH51">
        <v>4</v>
      </c>
      <c r="AI51" t="s">
        <v>70</v>
      </c>
      <c r="AK51">
        <v>5</v>
      </c>
      <c r="AL51">
        <v>5</v>
      </c>
      <c r="AM51">
        <v>4</v>
      </c>
      <c r="AN51">
        <v>4</v>
      </c>
      <c r="AO51">
        <v>4</v>
      </c>
      <c r="AP51">
        <v>5</v>
      </c>
      <c r="AQ51">
        <v>5</v>
      </c>
      <c r="AR51">
        <v>5</v>
      </c>
      <c r="AS51">
        <v>5</v>
      </c>
      <c r="AT51">
        <v>4</v>
      </c>
      <c r="AU51">
        <v>4</v>
      </c>
      <c r="AV51">
        <v>5</v>
      </c>
      <c r="AW51">
        <v>5</v>
      </c>
      <c r="AX51">
        <v>4</v>
      </c>
      <c r="AY51">
        <v>4</v>
      </c>
      <c r="AZ51">
        <v>5</v>
      </c>
      <c r="BA51">
        <v>5</v>
      </c>
      <c r="BB51">
        <v>4</v>
      </c>
      <c r="BC51">
        <v>4</v>
      </c>
      <c r="BD51">
        <v>4</v>
      </c>
      <c r="BE51">
        <v>4</v>
      </c>
      <c r="BF51">
        <v>5</v>
      </c>
      <c r="BG51" t="s">
        <v>70</v>
      </c>
      <c r="BI51" t="s">
        <v>72</v>
      </c>
    </row>
    <row r="52" spans="1:62" x14ac:dyDescent="0.35">
      <c r="A52" t="str">
        <f>IF(H52='Bộ lọc Giảng viên'!$C$5, MAX($A$1:A51)+1, "")</f>
        <v/>
      </c>
      <c r="B52" s="1">
        <v>46115.69733440972</v>
      </c>
      <c r="C52" t="s">
        <v>144</v>
      </c>
      <c r="D52" t="s">
        <v>63</v>
      </c>
      <c r="E52" t="s">
        <v>209</v>
      </c>
      <c r="H52" t="s">
        <v>67</v>
      </c>
      <c r="I52">
        <v>4</v>
      </c>
      <c r="J52">
        <v>4</v>
      </c>
      <c r="K52">
        <v>4</v>
      </c>
      <c r="L52">
        <v>4</v>
      </c>
      <c r="M52">
        <v>4</v>
      </c>
      <c r="N52">
        <v>4</v>
      </c>
      <c r="O52">
        <v>4</v>
      </c>
      <c r="P52">
        <v>3</v>
      </c>
      <c r="Q52">
        <v>3</v>
      </c>
      <c r="R52">
        <v>4</v>
      </c>
      <c r="S52">
        <v>4</v>
      </c>
      <c r="T52">
        <v>4</v>
      </c>
      <c r="V52" t="s">
        <v>68</v>
      </c>
      <c r="W52" t="s">
        <v>68</v>
      </c>
      <c r="X52" t="s">
        <v>68</v>
      </c>
      <c r="Y52" t="s">
        <v>68</v>
      </c>
      <c r="Z52" t="s">
        <v>68</v>
      </c>
      <c r="AC52" t="s">
        <v>69</v>
      </c>
      <c r="AD52">
        <v>4</v>
      </c>
      <c r="AE52">
        <v>4</v>
      </c>
      <c r="AF52">
        <v>4</v>
      </c>
      <c r="AG52">
        <v>4</v>
      </c>
      <c r="AH52">
        <v>4</v>
      </c>
      <c r="AI52" t="s">
        <v>70</v>
      </c>
      <c r="AK52">
        <v>4</v>
      </c>
      <c r="AL52">
        <v>4</v>
      </c>
      <c r="AM52">
        <v>4</v>
      </c>
      <c r="AN52">
        <v>4</v>
      </c>
      <c r="AO52">
        <v>4</v>
      </c>
      <c r="AP52">
        <v>4</v>
      </c>
      <c r="AQ52">
        <v>4</v>
      </c>
      <c r="AR52">
        <v>4</v>
      </c>
      <c r="AS52">
        <v>4</v>
      </c>
      <c r="AT52">
        <v>4</v>
      </c>
      <c r="AU52">
        <v>3</v>
      </c>
      <c r="AV52">
        <v>3</v>
      </c>
      <c r="AW52">
        <v>4</v>
      </c>
      <c r="AX52">
        <v>3</v>
      </c>
      <c r="AY52">
        <v>4</v>
      </c>
      <c r="AZ52">
        <v>3</v>
      </c>
      <c r="BA52">
        <v>3</v>
      </c>
      <c r="BB52">
        <v>3</v>
      </c>
      <c r="BC52">
        <v>3</v>
      </c>
      <c r="BD52">
        <v>3</v>
      </c>
      <c r="BE52">
        <v>3</v>
      </c>
      <c r="BF52">
        <v>3</v>
      </c>
      <c r="BG52" t="s">
        <v>70</v>
      </c>
      <c r="BI52" t="s">
        <v>107</v>
      </c>
    </row>
    <row r="53" spans="1:62" x14ac:dyDescent="0.35">
      <c r="A53" t="str">
        <f>IF(H53='Bộ lọc Giảng viên'!$C$5, MAX($A$1:A52)+1, "")</f>
        <v/>
      </c>
      <c r="B53" s="1">
        <v>46115.783608518519</v>
      </c>
      <c r="C53" t="s">
        <v>210</v>
      </c>
      <c r="D53" t="s">
        <v>63</v>
      </c>
      <c r="E53" t="s">
        <v>211</v>
      </c>
      <c r="H53" t="s">
        <v>67</v>
      </c>
      <c r="I53">
        <v>5</v>
      </c>
      <c r="J53">
        <v>5</v>
      </c>
      <c r="K53">
        <v>4</v>
      </c>
      <c r="L53">
        <v>4</v>
      </c>
      <c r="M53">
        <v>4</v>
      </c>
      <c r="N53">
        <v>4</v>
      </c>
      <c r="O53">
        <v>4</v>
      </c>
      <c r="P53">
        <v>4</v>
      </c>
      <c r="Q53">
        <v>4</v>
      </c>
      <c r="R53">
        <v>4</v>
      </c>
      <c r="S53">
        <v>4</v>
      </c>
      <c r="T53">
        <v>4</v>
      </c>
      <c r="V53" t="s">
        <v>68</v>
      </c>
      <c r="W53" t="s">
        <v>75</v>
      </c>
      <c r="X53" t="s">
        <v>75</v>
      </c>
      <c r="Y53" t="s">
        <v>75</v>
      </c>
      <c r="Z53" t="s">
        <v>75</v>
      </c>
      <c r="AB53" t="s">
        <v>212</v>
      </c>
      <c r="AC53" t="s">
        <v>111</v>
      </c>
      <c r="AD53">
        <v>4</v>
      </c>
      <c r="AE53">
        <v>5</v>
      </c>
      <c r="AF53">
        <v>4</v>
      </c>
      <c r="AG53">
        <v>5</v>
      </c>
      <c r="AH53">
        <v>5</v>
      </c>
      <c r="AI53" t="s">
        <v>70</v>
      </c>
      <c r="AK53">
        <v>4</v>
      </c>
      <c r="AL53">
        <v>4</v>
      </c>
      <c r="AM53">
        <v>4</v>
      </c>
      <c r="AN53">
        <v>4</v>
      </c>
      <c r="AO53">
        <v>4</v>
      </c>
      <c r="AP53">
        <v>4</v>
      </c>
      <c r="AQ53">
        <v>5</v>
      </c>
      <c r="AR53">
        <v>4</v>
      </c>
      <c r="AS53">
        <v>4</v>
      </c>
      <c r="AT53">
        <v>4</v>
      </c>
      <c r="AU53">
        <v>4</v>
      </c>
      <c r="AV53">
        <v>4</v>
      </c>
      <c r="AW53">
        <v>4</v>
      </c>
      <c r="AX53">
        <v>4</v>
      </c>
      <c r="AY53">
        <v>4</v>
      </c>
      <c r="AZ53">
        <v>4</v>
      </c>
      <c r="BA53">
        <v>4</v>
      </c>
      <c r="BB53">
        <v>4</v>
      </c>
      <c r="BC53">
        <v>4</v>
      </c>
      <c r="BD53">
        <v>4</v>
      </c>
      <c r="BE53">
        <v>4</v>
      </c>
      <c r="BF53">
        <v>4</v>
      </c>
      <c r="BG53" t="s">
        <v>70</v>
      </c>
      <c r="BI53" t="s">
        <v>107</v>
      </c>
    </row>
    <row r="54" spans="1:62" x14ac:dyDescent="0.35">
      <c r="A54" t="str">
        <f>IF(H54='Bộ lọc Giảng viên'!$C$5, MAX($A$1:A53)+1, "")</f>
        <v/>
      </c>
      <c r="B54" s="1">
        <v>46116.441339814817</v>
      </c>
      <c r="C54" t="s">
        <v>213</v>
      </c>
      <c r="D54" t="s">
        <v>63</v>
      </c>
      <c r="E54" t="s">
        <v>214</v>
      </c>
      <c r="F54" t="s">
        <v>215</v>
      </c>
      <c r="G54" t="s">
        <v>216</v>
      </c>
      <c r="H54" t="s">
        <v>67</v>
      </c>
      <c r="I54">
        <v>4</v>
      </c>
      <c r="J54">
        <v>4</v>
      </c>
      <c r="K54">
        <v>4</v>
      </c>
      <c r="L54">
        <v>4</v>
      </c>
      <c r="M54">
        <v>4</v>
      </c>
      <c r="N54">
        <v>5</v>
      </c>
      <c r="O54">
        <v>4</v>
      </c>
      <c r="P54">
        <v>3</v>
      </c>
      <c r="Q54">
        <v>5</v>
      </c>
      <c r="R54">
        <v>5</v>
      </c>
      <c r="S54">
        <v>5</v>
      </c>
      <c r="T54">
        <v>4</v>
      </c>
      <c r="U54" t="s">
        <v>217</v>
      </c>
      <c r="V54" t="s">
        <v>75</v>
      </c>
      <c r="W54" t="s">
        <v>76</v>
      </c>
      <c r="X54" t="s">
        <v>76</v>
      </c>
      <c r="Y54" t="s">
        <v>75</v>
      </c>
      <c r="Z54" t="s">
        <v>76</v>
      </c>
      <c r="AA54" t="s">
        <v>218</v>
      </c>
      <c r="AB54" t="s">
        <v>219</v>
      </c>
      <c r="AC54" t="s">
        <v>69</v>
      </c>
      <c r="AD54">
        <v>2</v>
      </c>
      <c r="AE54">
        <v>3</v>
      </c>
      <c r="AF54">
        <v>3</v>
      </c>
      <c r="AG54">
        <v>3</v>
      </c>
      <c r="AH54">
        <v>3</v>
      </c>
      <c r="AI54" t="s">
        <v>70</v>
      </c>
      <c r="AJ54" t="s">
        <v>220</v>
      </c>
      <c r="AK54">
        <v>3</v>
      </c>
      <c r="AL54">
        <v>3</v>
      </c>
      <c r="AM54">
        <v>3</v>
      </c>
      <c r="AN54">
        <v>2</v>
      </c>
      <c r="AO54">
        <v>4</v>
      </c>
      <c r="AP54">
        <v>4</v>
      </c>
      <c r="AQ54">
        <v>3</v>
      </c>
      <c r="AR54">
        <v>2</v>
      </c>
      <c r="AS54">
        <v>3</v>
      </c>
      <c r="AT54">
        <v>3</v>
      </c>
      <c r="AU54">
        <v>3</v>
      </c>
      <c r="AV54">
        <v>3</v>
      </c>
      <c r="AW54">
        <v>3</v>
      </c>
      <c r="AX54">
        <v>4</v>
      </c>
      <c r="AY54">
        <v>3</v>
      </c>
      <c r="AZ54">
        <v>3</v>
      </c>
      <c r="BA54">
        <v>3</v>
      </c>
      <c r="BB54">
        <v>3</v>
      </c>
      <c r="BC54">
        <v>3</v>
      </c>
      <c r="BD54">
        <v>3</v>
      </c>
      <c r="BE54">
        <v>3</v>
      </c>
      <c r="BF54">
        <v>3</v>
      </c>
      <c r="BG54" t="s">
        <v>136</v>
      </c>
      <c r="BH54" t="s">
        <v>221</v>
      </c>
      <c r="BI54" t="s">
        <v>107</v>
      </c>
      <c r="BJ54" t="s">
        <v>222</v>
      </c>
    </row>
    <row r="55" spans="1:62" x14ac:dyDescent="0.35">
      <c r="A55" t="str">
        <f>IF(H55='Bộ lọc Giảng viên'!$C$5, MAX($A$1:A54)+1, "")</f>
        <v/>
      </c>
      <c r="B55" s="1">
        <v>46118.347158865741</v>
      </c>
      <c r="C55" t="s">
        <v>223</v>
      </c>
      <c r="D55" t="s">
        <v>80</v>
      </c>
      <c r="E55">
        <v>207657</v>
      </c>
      <c r="F55" t="s">
        <v>124</v>
      </c>
      <c r="G55" t="s">
        <v>125</v>
      </c>
      <c r="H55" t="s">
        <v>67</v>
      </c>
      <c r="I55">
        <v>5</v>
      </c>
      <c r="J55">
        <v>5</v>
      </c>
      <c r="K55">
        <v>5</v>
      </c>
      <c r="L55">
        <v>5</v>
      </c>
      <c r="M55">
        <v>4</v>
      </c>
      <c r="N55">
        <v>5</v>
      </c>
      <c r="O55">
        <v>5</v>
      </c>
      <c r="P55">
        <v>4</v>
      </c>
      <c r="Q55">
        <v>5</v>
      </c>
      <c r="R55">
        <v>5</v>
      </c>
      <c r="S55">
        <v>5</v>
      </c>
      <c r="T55">
        <v>5</v>
      </c>
      <c r="V55" t="s">
        <v>68</v>
      </c>
      <c r="W55" t="s">
        <v>68</v>
      </c>
      <c r="X55" t="s">
        <v>68</v>
      </c>
      <c r="Y55" t="s">
        <v>68</v>
      </c>
      <c r="Z55" t="s">
        <v>68</v>
      </c>
      <c r="AC55" t="s">
        <v>111</v>
      </c>
      <c r="AD55">
        <v>5</v>
      </c>
      <c r="AE55">
        <v>5</v>
      </c>
      <c r="AF55">
        <v>5</v>
      </c>
      <c r="AG55">
        <v>5</v>
      </c>
      <c r="AH55">
        <v>5</v>
      </c>
      <c r="AI55" t="s">
        <v>70</v>
      </c>
      <c r="AK55">
        <v>5</v>
      </c>
      <c r="AL55">
        <v>5</v>
      </c>
      <c r="AM55">
        <v>5</v>
      </c>
      <c r="AN55">
        <v>5</v>
      </c>
      <c r="AO55">
        <v>5</v>
      </c>
      <c r="AP55">
        <v>5</v>
      </c>
      <c r="AQ55">
        <v>5</v>
      </c>
      <c r="AR55">
        <v>5</v>
      </c>
      <c r="AS55">
        <v>5</v>
      </c>
      <c r="AT55">
        <v>5</v>
      </c>
      <c r="AU55">
        <v>5</v>
      </c>
      <c r="AV55">
        <v>5</v>
      </c>
      <c r="AW55">
        <v>5</v>
      </c>
      <c r="AX55">
        <v>5</v>
      </c>
      <c r="AY55">
        <v>5</v>
      </c>
      <c r="AZ55">
        <v>5</v>
      </c>
      <c r="BA55">
        <v>5</v>
      </c>
      <c r="BB55">
        <v>5</v>
      </c>
      <c r="BC55">
        <v>5</v>
      </c>
      <c r="BD55">
        <v>5</v>
      </c>
      <c r="BE55">
        <v>5</v>
      </c>
      <c r="BF55">
        <v>5</v>
      </c>
      <c r="BG55" t="s">
        <v>70</v>
      </c>
      <c r="BI55" t="s">
        <v>72</v>
      </c>
    </row>
    <row r="56" spans="1:62" x14ac:dyDescent="0.35">
      <c r="A56" t="str">
        <f>IF(H56='Bộ lọc Giảng viên'!$C$5, MAX($A$1:A55)+1, "")</f>
        <v/>
      </c>
      <c r="B56" s="1">
        <v>46118.392084525462</v>
      </c>
      <c r="C56" t="s">
        <v>161</v>
      </c>
      <c r="D56" t="s">
        <v>80</v>
      </c>
      <c r="E56" t="s">
        <v>224</v>
      </c>
      <c r="H56" t="s">
        <v>84</v>
      </c>
      <c r="I56">
        <v>4</v>
      </c>
      <c r="J56">
        <v>4</v>
      </c>
      <c r="K56">
        <v>3</v>
      </c>
      <c r="L56">
        <v>4</v>
      </c>
      <c r="M56">
        <v>5</v>
      </c>
      <c r="N56">
        <v>4</v>
      </c>
      <c r="O56">
        <v>4</v>
      </c>
      <c r="P56">
        <v>4</v>
      </c>
      <c r="Q56">
        <v>4</v>
      </c>
      <c r="R56">
        <v>4</v>
      </c>
      <c r="S56">
        <v>3</v>
      </c>
      <c r="T56">
        <v>4</v>
      </c>
      <c r="V56" t="s">
        <v>75</v>
      </c>
      <c r="W56" t="s">
        <v>75</v>
      </c>
      <c r="X56" t="s">
        <v>75</v>
      </c>
      <c r="Y56" t="s">
        <v>68</v>
      </c>
      <c r="Z56" t="s">
        <v>76</v>
      </c>
      <c r="AC56" t="s">
        <v>106</v>
      </c>
      <c r="AD56">
        <v>4</v>
      </c>
      <c r="AE56">
        <v>4</v>
      </c>
      <c r="AF56">
        <v>4</v>
      </c>
      <c r="AG56">
        <v>5</v>
      </c>
      <c r="AH56">
        <v>5</v>
      </c>
      <c r="AI56" t="s">
        <v>70</v>
      </c>
      <c r="AK56">
        <v>5</v>
      </c>
      <c r="AL56">
        <v>4</v>
      </c>
      <c r="AM56">
        <v>4</v>
      </c>
      <c r="AN56">
        <v>3</v>
      </c>
      <c r="AO56">
        <v>4</v>
      </c>
      <c r="AP56">
        <v>4</v>
      </c>
      <c r="AQ56">
        <v>4</v>
      </c>
      <c r="AR56">
        <v>3</v>
      </c>
      <c r="AS56">
        <v>4</v>
      </c>
      <c r="AT56">
        <v>4</v>
      </c>
      <c r="AU56">
        <v>3</v>
      </c>
      <c r="AV56">
        <v>3</v>
      </c>
      <c r="AW56">
        <v>3</v>
      </c>
      <c r="AX56">
        <v>4</v>
      </c>
      <c r="AY56">
        <v>3</v>
      </c>
      <c r="AZ56">
        <v>4</v>
      </c>
      <c r="BA56">
        <v>4</v>
      </c>
      <c r="BB56">
        <v>3</v>
      </c>
      <c r="BC56">
        <v>4</v>
      </c>
      <c r="BD56">
        <v>4</v>
      </c>
      <c r="BE56">
        <v>4</v>
      </c>
      <c r="BF56">
        <v>4</v>
      </c>
      <c r="BG56" t="s">
        <v>70</v>
      </c>
      <c r="BI56" t="s">
        <v>107</v>
      </c>
    </row>
    <row r="57" spans="1:62" x14ac:dyDescent="0.35">
      <c r="A57">
        <f>IF(H57='Bộ lọc Giảng viên'!$C$5, MAX($A$1:A56)+1, "")</f>
        <v>7</v>
      </c>
      <c r="B57" s="1">
        <v>46118.413158217591</v>
      </c>
      <c r="C57" t="s">
        <v>161</v>
      </c>
      <c r="D57" t="s">
        <v>80</v>
      </c>
      <c r="E57" t="s">
        <v>225</v>
      </c>
      <c r="H57" t="s">
        <v>74</v>
      </c>
      <c r="I57">
        <v>4</v>
      </c>
      <c r="J57">
        <v>4</v>
      </c>
      <c r="K57">
        <v>4</v>
      </c>
      <c r="L57">
        <v>4</v>
      </c>
      <c r="M57">
        <v>4</v>
      </c>
      <c r="N57">
        <v>5</v>
      </c>
      <c r="O57">
        <v>5</v>
      </c>
      <c r="P57">
        <v>5</v>
      </c>
      <c r="Q57">
        <v>5</v>
      </c>
      <c r="R57">
        <v>5</v>
      </c>
      <c r="S57">
        <v>5</v>
      </c>
      <c r="T57">
        <v>5</v>
      </c>
      <c r="V57" t="s">
        <v>75</v>
      </c>
      <c r="W57" t="s">
        <v>76</v>
      </c>
      <c r="X57" t="s">
        <v>76</v>
      </c>
      <c r="Y57" t="s">
        <v>75</v>
      </c>
      <c r="Z57" t="s">
        <v>75</v>
      </c>
      <c r="AC57" t="s">
        <v>69</v>
      </c>
      <c r="AD57">
        <v>4</v>
      </c>
      <c r="AE57">
        <v>4</v>
      </c>
      <c r="AF57">
        <v>4</v>
      </c>
      <c r="AG57">
        <v>5</v>
      </c>
      <c r="AH57">
        <v>5</v>
      </c>
      <c r="AI57" t="s">
        <v>70</v>
      </c>
      <c r="AK57">
        <v>5</v>
      </c>
      <c r="AL57">
        <v>4</v>
      </c>
      <c r="AM57">
        <v>4</v>
      </c>
      <c r="AN57">
        <v>3</v>
      </c>
      <c r="AO57">
        <v>4</v>
      </c>
      <c r="AP57">
        <v>4</v>
      </c>
      <c r="AQ57">
        <v>4</v>
      </c>
      <c r="AR57">
        <v>3</v>
      </c>
      <c r="AS57">
        <v>4</v>
      </c>
      <c r="AT57">
        <v>4</v>
      </c>
      <c r="AU57">
        <v>3</v>
      </c>
      <c r="AV57">
        <v>3</v>
      </c>
      <c r="AW57">
        <v>3</v>
      </c>
      <c r="AX57">
        <v>4</v>
      </c>
      <c r="AY57">
        <v>3</v>
      </c>
      <c r="AZ57">
        <v>4</v>
      </c>
      <c r="BA57">
        <v>4</v>
      </c>
      <c r="BB57">
        <v>3</v>
      </c>
      <c r="BC57">
        <v>4</v>
      </c>
      <c r="BD57">
        <v>4</v>
      </c>
      <c r="BE57">
        <v>4</v>
      </c>
      <c r="BF57">
        <v>4</v>
      </c>
      <c r="BG57" t="s">
        <v>70</v>
      </c>
      <c r="BI57" t="s">
        <v>72</v>
      </c>
    </row>
    <row r="58" spans="1:62" x14ac:dyDescent="0.35">
      <c r="A58">
        <f>IF(H58='Bộ lọc Giảng viên'!$C$5, MAX($A$1:A57)+1, "")</f>
        <v>8</v>
      </c>
      <c r="B58" s="1">
        <v>46118.611975810178</v>
      </c>
      <c r="C58" t="s">
        <v>226</v>
      </c>
      <c r="D58" t="s">
        <v>80</v>
      </c>
      <c r="E58" t="s">
        <v>227</v>
      </c>
      <c r="F58" t="s">
        <v>228</v>
      </c>
      <c r="G58" t="s">
        <v>229</v>
      </c>
      <c r="H58" t="s">
        <v>74</v>
      </c>
      <c r="I58">
        <v>5</v>
      </c>
      <c r="J58">
        <v>4</v>
      </c>
      <c r="K58">
        <v>5</v>
      </c>
      <c r="L58">
        <v>5</v>
      </c>
      <c r="M58">
        <v>4</v>
      </c>
      <c r="N58">
        <v>3</v>
      </c>
      <c r="O58">
        <v>3</v>
      </c>
      <c r="P58">
        <v>4</v>
      </c>
      <c r="Q58">
        <v>4</v>
      </c>
      <c r="R58">
        <v>4</v>
      </c>
      <c r="S58">
        <v>4</v>
      </c>
      <c r="T58">
        <v>3</v>
      </c>
      <c r="V58" t="s">
        <v>68</v>
      </c>
      <c r="W58" t="s">
        <v>68</v>
      </c>
      <c r="X58" t="s">
        <v>68</v>
      </c>
      <c r="Y58" t="s">
        <v>68</v>
      </c>
      <c r="Z58" t="s">
        <v>68</v>
      </c>
      <c r="AC58" t="s">
        <v>111</v>
      </c>
      <c r="AD58">
        <v>4</v>
      </c>
      <c r="AE58">
        <v>4</v>
      </c>
      <c r="AF58">
        <v>4</v>
      </c>
      <c r="AG58">
        <v>4</v>
      </c>
      <c r="AH58">
        <v>4</v>
      </c>
      <c r="AI58" t="s">
        <v>70</v>
      </c>
      <c r="AK58">
        <v>4</v>
      </c>
      <c r="AL58">
        <v>4</v>
      </c>
      <c r="AM58">
        <v>4</v>
      </c>
      <c r="AN58">
        <v>4</v>
      </c>
      <c r="AO58">
        <v>4</v>
      </c>
      <c r="AP58">
        <v>4</v>
      </c>
      <c r="AQ58">
        <v>4</v>
      </c>
      <c r="AR58">
        <v>2</v>
      </c>
      <c r="AS58">
        <v>4</v>
      </c>
      <c r="AT58">
        <v>4</v>
      </c>
      <c r="AU58">
        <v>4</v>
      </c>
      <c r="AV58">
        <v>3</v>
      </c>
      <c r="AW58">
        <v>3</v>
      </c>
      <c r="AX58">
        <v>4</v>
      </c>
      <c r="AY58">
        <v>3</v>
      </c>
      <c r="AZ58">
        <v>4</v>
      </c>
      <c r="BA58">
        <v>4</v>
      </c>
      <c r="BB58">
        <v>4</v>
      </c>
      <c r="BC58">
        <v>4</v>
      </c>
      <c r="BD58">
        <v>4</v>
      </c>
      <c r="BE58">
        <v>4</v>
      </c>
      <c r="BF58">
        <v>4</v>
      </c>
      <c r="BG58" t="s">
        <v>70</v>
      </c>
      <c r="BI58" t="s">
        <v>72</v>
      </c>
    </row>
    <row r="59" spans="1:62" x14ac:dyDescent="0.35">
      <c r="A59" t="str">
        <f>IF(H59='Bộ lọc Giảng viên'!$C$5, MAX($A$1:A58)+1, "")</f>
        <v/>
      </c>
      <c r="B59" s="1">
        <v>46118.615806817128</v>
      </c>
      <c r="C59" t="s">
        <v>226</v>
      </c>
      <c r="D59" t="s">
        <v>80</v>
      </c>
      <c r="E59" t="s">
        <v>227</v>
      </c>
      <c r="F59" t="s">
        <v>228</v>
      </c>
      <c r="G59" t="s">
        <v>229</v>
      </c>
      <c r="H59" t="s">
        <v>193</v>
      </c>
      <c r="I59">
        <v>4</v>
      </c>
      <c r="J59">
        <v>3</v>
      </c>
      <c r="K59">
        <v>5</v>
      </c>
      <c r="L59">
        <v>5</v>
      </c>
      <c r="M59">
        <v>5</v>
      </c>
      <c r="N59">
        <v>3</v>
      </c>
      <c r="O59">
        <v>4</v>
      </c>
      <c r="P59">
        <v>4</v>
      </c>
      <c r="Q59">
        <v>4</v>
      </c>
      <c r="R59">
        <v>4</v>
      </c>
      <c r="S59">
        <v>4</v>
      </c>
      <c r="T59">
        <v>3</v>
      </c>
      <c r="V59" t="s">
        <v>75</v>
      </c>
      <c r="W59" t="s">
        <v>75</v>
      </c>
      <c r="X59" t="s">
        <v>76</v>
      </c>
      <c r="Y59" t="s">
        <v>76</v>
      </c>
      <c r="Z59" t="s">
        <v>75</v>
      </c>
      <c r="AC59" t="s">
        <v>111</v>
      </c>
      <c r="AD59">
        <v>4</v>
      </c>
      <c r="AE59">
        <v>4</v>
      </c>
      <c r="AF59">
        <v>4</v>
      </c>
      <c r="AG59">
        <v>4</v>
      </c>
      <c r="AH59">
        <v>4</v>
      </c>
      <c r="AI59" t="s">
        <v>70</v>
      </c>
      <c r="AK59">
        <v>4</v>
      </c>
      <c r="AL59">
        <v>4</v>
      </c>
      <c r="AM59">
        <v>4</v>
      </c>
      <c r="AN59">
        <v>4</v>
      </c>
      <c r="AO59">
        <v>4</v>
      </c>
      <c r="AP59">
        <v>4</v>
      </c>
      <c r="AQ59">
        <v>4</v>
      </c>
      <c r="AR59">
        <v>3</v>
      </c>
      <c r="AS59">
        <v>4</v>
      </c>
      <c r="AT59">
        <v>4</v>
      </c>
      <c r="AU59">
        <v>4</v>
      </c>
      <c r="AV59">
        <v>4</v>
      </c>
      <c r="AW59">
        <v>4</v>
      </c>
      <c r="AX59">
        <v>4</v>
      </c>
      <c r="AY59">
        <v>4</v>
      </c>
      <c r="AZ59">
        <v>4</v>
      </c>
      <c r="BA59">
        <v>4</v>
      </c>
      <c r="BB59">
        <v>4</v>
      </c>
      <c r="BC59">
        <v>4</v>
      </c>
      <c r="BD59">
        <v>4</v>
      </c>
      <c r="BE59">
        <v>4</v>
      </c>
      <c r="BF59">
        <v>4</v>
      </c>
      <c r="BG59" t="s">
        <v>70</v>
      </c>
      <c r="BI59" t="s">
        <v>72</v>
      </c>
    </row>
    <row r="60" spans="1:62" x14ac:dyDescent="0.35">
      <c r="A60" t="str">
        <f>IF(H60='Bộ lọc Giảng viên'!$C$5, MAX($A$1:A59)+1, "")</f>
        <v/>
      </c>
      <c r="B60" s="1">
        <v>46118.617864398148</v>
      </c>
      <c r="C60" t="s">
        <v>226</v>
      </c>
      <c r="D60" t="s">
        <v>80</v>
      </c>
      <c r="E60" t="s">
        <v>230</v>
      </c>
      <c r="F60" t="s">
        <v>228</v>
      </c>
      <c r="G60" t="s">
        <v>229</v>
      </c>
      <c r="H60" t="s">
        <v>96</v>
      </c>
      <c r="I60">
        <v>4</v>
      </c>
      <c r="J60">
        <v>3</v>
      </c>
      <c r="K60">
        <v>5</v>
      </c>
      <c r="L60">
        <v>5</v>
      </c>
      <c r="M60">
        <v>5</v>
      </c>
      <c r="N60">
        <v>4</v>
      </c>
      <c r="O60">
        <v>4</v>
      </c>
      <c r="P60">
        <v>4</v>
      </c>
      <c r="Q60">
        <v>4</v>
      </c>
      <c r="R60">
        <v>4</v>
      </c>
      <c r="S60">
        <v>4</v>
      </c>
      <c r="T60">
        <v>4</v>
      </c>
      <c r="V60" t="s">
        <v>75</v>
      </c>
      <c r="W60" t="s">
        <v>75</v>
      </c>
      <c r="X60" t="s">
        <v>75</v>
      </c>
      <c r="Y60" t="s">
        <v>75</v>
      </c>
      <c r="Z60" t="s">
        <v>76</v>
      </c>
      <c r="AC60" t="s">
        <v>111</v>
      </c>
      <c r="AD60">
        <v>4</v>
      </c>
      <c r="AE60">
        <v>4</v>
      </c>
      <c r="AF60">
        <v>4</v>
      </c>
      <c r="AG60">
        <v>4</v>
      </c>
      <c r="AH60">
        <v>4</v>
      </c>
      <c r="AI60" t="s">
        <v>70</v>
      </c>
      <c r="AK60">
        <v>4</v>
      </c>
      <c r="AL60">
        <v>4</v>
      </c>
      <c r="AM60">
        <v>4</v>
      </c>
      <c r="AN60">
        <v>4</v>
      </c>
      <c r="AO60">
        <v>4</v>
      </c>
      <c r="AP60">
        <v>4</v>
      </c>
      <c r="AQ60">
        <v>4</v>
      </c>
      <c r="AR60">
        <v>3</v>
      </c>
      <c r="AS60">
        <v>4</v>
      </c>
      <c r="AT60">
        <v>4</v>
      </c>
      <c r="AU60">
        <v>4</v>
      </c>
      <c r="AV60">
        <v>4</v>
      </c>
      <c r="AW60">
        <v>4</v>
      </c>
      <c r="AX60">
        <v>4</v>
      </c>
      <c r="AY60">
        <v>4</v>
      </c>
      <c r="AZ60">
        <v>4</v>
      </c>
      <c r="BA60">
        <v>4</v>
      </c>
      <c r="BB60">
        <v>4</v>
      </c>
      <c r="BC60">
        <v>4</v>
      </c>
      <c r="BD60">
        <v>4</v>
      </c>
      <c r="BE60">
        <v>4</v>
      </c>
      <c r="BF60">
        <v>4</v>
      </c>
      <c r="BG60" t="s">
        <v>70</v>
      </c>
      <c r="BI60" t="s">
        <v>72</v>
      </c>
    </row>
    <row r="61" spans="1:62" x14ac:dyDescent="0.35">
      <c r="A61" t="str">
        <f>IF(H61='Bộ lọc Giảng viên'!$C$5, MAX($A$1:A60)+1, "")</f>
        <v/>
      </c>
      <c r="B61" s="1">
        <v>46118.620197962962</v>
      </c>
      <c r="C61" t="s">
        <v>226</v>
      </c>
      <c r="D61" t="s">
        <v>80</v>
      </c>
      <c r="E61" t="s">
        <v>231</v>
      </c>
      <c r="F61" t="s">
        <v>228</v>
      </c>
      <c r="G61" t="s">
        <v>229</v>
      </c>
      <c r="H61" t="s">
        <v>67</v>
      </c>
      <c r="I61">
        <v>4</v>
      </c>
      <c r="J61">
        <v>3</v>
      </c>
      <c r="K61">
        <v>4</v>
      </c>
      <c r="L61">
        <v>4</v>
      </c>
      <c r="M61">
        <v>4</v>
      </c>
      <c r="N61">
        <v>4</v>
      </c>
      <c r="O61">
        <v>4</v>
      </c>
      <c r="P61">
        <v>4</v>
      </c>
      <c r="Q61">
        <v>4</v>
      </c>
      <c r="R61">
        <v>4</v>
      </c>
      <c r="S61">
        <v>4</v>
      </c>
      <c r="T61">
        <v>4</v>
      </c>
      <c r="V61" t="s">
        <v>75</v>
      </c>
      <c r="W61" t="s">
        <v>75</v>
      </c>
      <c r="X61" t="s">
        <v>75</v>
      </c>
      <c r="Y61" t="s">
        <v>76</v>
      </c>
      <c r="Z61" t="s">
        <v>76</v>
      </c>
      <c r="AC61" t="s">
        <v>111</v>
      </c>
      <c r="AD61">
        <v>4</v>
      </c>
      <c r="AE61">
        <v>4</v>
      </c>
      <c r="AF61">
        <v>4</v>
      </c>
      <c r="AG61">
        <v>4</v>
      </c>
      <c r="AH61">
        <v>3</v>
      </c>
      <c r="AI61" t="s">
        <v>70</v>
      </c>
      <c r="AK61">
        <v>4</v>
      </c>
      <c r="AL61">
        <v>4</v>
      </c>
      <c r="AM61">
        <v>4</v>
      </c>
      <c r="AN61">
        <v>4</v>
      </c>
      <c r="AO61">
        <v>4</v>
      </c>
      <c r="AP61">
        <v>4</v>
      </c>
      <c r="AQ61">
        <v>4</v>
      </c>
      <c r="AR61">
        <v>3</v>
      </c>
      <c r="AS61">
        <v>4</v>
      </c>
      <c r="AT61">
        <v>4</v>
      </c>
      <c r="AU61">
        <v>4</v>
      </c>
      <c r="AV61">
        <v>3</v>
      </c>
      <c r="AW61">
        <v>3</v>
      </c>
      <c r="AX61">
        <v>4</v>
      </c>
      <c r="AY61">
        <v>4</v>
      </c>
      <c r="AZ61">
        <v>4</v>
      </c>
      <c r="BA61">
        <v>4</v>
      </c>
      <c r="BB61">
        <v>4</v>
      </c>
      <c r="BC61">
        <v>4</v>
      </c>
      <c r="BD61">
        <v>4</v>
      </c>
      <c r="BE61">
        <v>4</v>
      </c>
      <c r="BF61">
        <v>4</v>
      </c>
      <c r="BG61" t="s">
        <v>70</v>
      </c>
      <c r="BI61" t="s">
        <v>72</v>
      </c>
    </row>
    <row r="62" spans="1:62" x14ac:dyDescent="0.35">
      <c r="A62" t="str">
        <f>IF(H62='Bộ lọc Giảng viên'!$C$5, MAX($A$1:A61)+1, "")</f>
        <v/>
      </c>
      <c r="B62" s="1">
        <v>46118.622308310187</v>
      </c>
      <c r="C62" t="s">
        <v>226</v>
      </c>
      <c r="D62" t="s">
        <v>80</v>
      </c>
      <c r="E62" t="s">
        <v>232</v>
      </c>
      <c r="F62" t="s">
        <v>228</v>
      </c>
      <c r="G62" t="s">
        <v>229</v>
      </c>
      <c r="H62" t="s">
        <v>78</v>
      </c>
      <c r="I62">
        <v>4</v>
      </c>
      <c r="J62">
        <v>3</v>
      </c>
      <c r="K62">
        <v>5</v>
      </c>
      <c r="L62">
        <v>4</v>
      </c>
      <c r="M62">
        <v>4</v>
      </c>
      <c r="N62">
        <v>4</v>
      </c>
      <c r="O62">
        <v>4</v>
      </c>
      <c r="P62">
        <v>4</v>
      </c>
      <c r="Q62">
        <v>4</v>
      </c>
      <c r="R62">
        <v>4</v>
      </c>
      <c r="S62">
        <v>4</v>
      </c>
      <c r="T62">
        <v>4</v>
      </c>
      <c r="V62" t="s">
        <v>75</v>
      </c>
      <c r="W62" t="s">
        <v>75</v>
      </c>
      <c r="X62" t="s">
        <v>75</v>
      </c>
      <c r="Y62" t="s">
        <v>76</v>
      </c>
      <c r="Z62" t="s">
        <v>76</v>
      </c>
      <c r="AC62" t="s">
        <v>111</v>
      </c>
      <c r="AD62">
        <v>4</v>
      </c>
      <c r="AE62">
        <v>4</v>
      </c>
      <c r="AF62">
        <v>4</v>
      </c>
      <c r="AG62">
        <v>4</v>
      </c>
      <c r="AH62">
        <v>4</v>
      </c>
      <c r="AI62" t="s">
        <v>70</v>
      </c>
      <c r="AK62">
        <v>4</v>
      </c>
      <c r="AL62">
        <v>4</v>
      </c>
      <c r="AM62">
        <v>4</v>
      </c>
      <c r="AN62">
        <v>4</v>
      </c>
      <c r="AO62">
        <v>4</v>
      </c>
      <c r="AP62">
        <v>4</v>
      </c>
      <c r="AQ62">
        <v>4</v>
      </c>
      <c r="AR62">
        <v>3</v>
      </c>
      <c r="AS62">
        <v>4</v>
      </c>
      <c r="AT62">
        <v>4</v>
      </c>
      <c r="AU62">
        <v>4</v>
      </c>
      <c r="AV62">
        <v>3</v>
      </c>
      <c r="AW62">
        <v>3</v>
      </c>
      <c r="AX62">
        <v>4</v>
      </c>
      <c r="AY62">
        <v>4</v>
      </c>
      <c r="AZ62">
        <v>4</v>
      </c>
      <c r="BA62">
        <v>4</v>
      </c>
      <c r="BB62">
        <v>4</v>
      </c>
      <c r="BC62">
        <v>4</v>
      </c>
      <c r="BD62">
        <v>4</v>
      </c>
      <c r="BE62">
        <v>4</v>
      </c>
      <c r="BF62">
        <v>4</v>
      </c>
      <c r="BG62" t="s">
        <v>70</v>
      </c>
      <c r="BI62" t="s">
        <v>72</v>
      </c>
    </row>
    <row r="63" spans="1:62" x14ac:dyDescent="0.35">
      <c r="A63" t="str">
        <f>IF(H63='Bộ lọc Giảng viên'!$C$5, MAX($A$1:A62)+1, "")</f>
        <v/>
      </c>
      <c r="B63" s="1">
        <v>46118.62417476852</v>
      </c>
      <c r="C63" t="s">
        <v>233</v>
      </c>
      <c r="D63" t="s">
        <v>80</v>
      </c>
      <c r="E63" t="s">
        <v>227</v>
      </c>
      <c r="F63" t="s">
        <v>228</v>
      </c>
      <c r="G63" t="s">
        <v>229</v>
      </c>
      <c r="H63" t="s">
        <v>234</v>
      </c>
      <c r="I63">
        <v>4</v>
      </c>
      <c r="J63">
        <v>3</v>
      </c>
      <c r="K63">
        <v>4</v>
      </c>
      <c r="L63">
        <v>4</v>
      </c>
      <c r="M63">
        <v>3</v>
      </c>
      <c r="N63">
        <v>3</v>
      </c>
      <c r="O63">
        <v>4</v>
      </c>
      <c r="P63">
        <v>4</v>
      </c>
      <c r="Q63">
        <v>4</v>
      </c>
      <c r="R63">
        <v>4</v>
      </c>
      <c r="S63">
        <v>4</v>
      </c>
      <c r="T63">
        <v>4</v>
      </c>
      <c r="V63" t="s">
        <v>75</v>
      </c>
      <c r="W63" t="s">
        <v>75</v>
      </c>
      <c r="X63" t="s">
        <v>75</v>
      </c>
      <c r="Y63" t="s">
        <v>76</v>
      </c>
      <c r="Z63" t="s">
        <v>76</v>
      </c>
      <c r="AC63" t="s">
        <v>111</v>
      </c>
      <c r="AD63">
        <v>4</v>
      </c>
      <c r="AE63">
        <v>4</v>
      </c>
      <c r="AF63">
        <v>4</v>
      </c>
      <c r="AG63">
        <v>4</v>
      </c>
      <c r="AH63">
        <v>4</v>
      </c>
      <c r="AI63" t="s">
        <v>70</v>
      </c>
      <c r="AK63">
        <v>4</v>
      </c>
      <c r="AL63">
        <v>4</v>
      </c>
      <c r="AM63">
        <v>4</v>
      </c>
      <c r="AN63">
        <v>4</v>
      </c>
      <c r="AO63">
        <v>4</v>
      </c>
      <c r="AP63">
        <v>4</v>
      </c>
      <c r="AQ63">
        <v>4</v>
      </c>
      <c r="AR63">
        <v>3</v>
      </c>
      <c r="AS63">
        <v>4</v>
      </c>
      <c r="AT63">
        <v>4</v>
      </c>
      <c r="AU63">
        <v>4</v>
      </c>
      <c r="AV63">
        <v>3</v>
      </c>
      <c r="AW63">
        <v>3</v>
      </c>
      <c r="AX63">
        <v>4</v>
      </c>
      <c r="AY63">
        <v>4</v>
      </c>
      <c r="AZ63">
        <v>4</v>
      </c>
      <c r="BA63">
        <v>4</v>
      </c>
      <c r="BB63">
        <v>4</v>
      </c>
      <c r="BC63">
        <v>4</v>
      </c>
      <c r="BD63">
        <v>4</v>
      </c>
      <c r="BE63">
        <v>4</v>
      </c>
      <c r="BF63">
        <v>4</v>
      </c>
      <c r="BG63" t="s">
        <v>70</v>
      </c>
      <c r="BI63" t="s">
        <v>72</v>
      </c>
    </row>
    <row r="64" spans="1:62" x14ac:dyDescent="0.35">
      <c r="A64" t="str">
        <f>IF(H64='Bộ lọc Giảng viên'!$C$5, MAX($A$1:A63)+1, "")</f>
        <v/>
      </c>
      <c r="B64" s="1">
        <v>46118.628349699073</v>
      </c>
      <c r="C64" t="s">
        <v>161</v>
      </c>
      <c r="D64" t="s">
        <v>80</v>
      </c>
      <c r="E64" t="s">
        <v>235</v>
      </c>
      <c r="H64" t="s">
        <v>78</v>
      </c>
      <c r="I64">
        <v>4</v>
      </c>
      <c r="J64">
        <v>4</v>
      </c>
      <c r="K64">
        <v>4</v>
      </c>
      <c r="L64">
        <v>5</v>
      </c>
      <c r="M64">
        <v>5</v>
      </c>
      <c r="N64">
        <v>5</v>
      </c>
      <c r="O64">
        <v>5</v>
      </c>
      <c r="P64">
        <v>5</v>
      </c>
      <c r="Q64">
        <v>5</v>
      </c>
      <c r="R64">
        <v>5</v>
      </c>
      <c r="S64">
        <v>5</v>
      </c>
      <c r="T64">
        <v>5</v>
      </c>
      <c r="V64" t="s">
        <v>75</v>
      </c>
      <c r="W64" t="s">
        <v>75</v>
      </c>
      <c r="X64" t="s">
        <v>75</v>
      </c>
      <c r="Y64" t="s">
        <v>75</v>
      </c>
      <c r="Z64" t="s">
        <v>68</v>
      </c>
      <c r="AC64" t="s">
        <v>111</v>
      </c>
      <c r="AD64">
        <v>5</v>
      </c>
      <c r="AE64">
        <v>5</v>
      </c>
      <c r="AF64">
        <v>5</v>
      </c>
      <c r="AG64">
        <v>5</v>
      </c>
      <c r="AH64">
        <v>4</v>
      </c>
      <c r="AI64" t="s">
        <v>70</v>
      </c>
      <c r="AK64">
        <v>5</v>
      </c>
      <c r="AL64">
        <v>4</v>
      </c>
      <c r="AM64">
        <v>4</v>
      </c>
      <c r="AN64">
        <v>3</v>
      </c>
      <c r="AO64">
        <v>4</v>
      </c>
      <c r="AP64">
        <v>4</v>
      </c>
      <c r="AQ64">
        <v>4</v>
      </c>
      <c r="AR64">
        <v>3</v>
      </c>
      <c r="AS64">
        <v>4</v>
      </c>
      <c r="AT64">
        <v>4</v>
      </c>
      <c r="AU64">
        <v>3</v>
      </c>
      <c r="AV64">
        <v>3</v>
      </c>
      <c r="AW64">
        <v>3</v>
      </c>
      <c r="AX64">
        <v>4</v>
      </c>
      <c r="AY64">
        <v>3</v>
      </c>
      <c r="AZ64">
        <v>4</v>
      </c>
      <c r="BA64">
        <v>4</v>
      </c>
      <c r="BB64">
        <v>3</v>
      </c>
      <c r="BC64">
        <v>4</v>
      </c>
      <c r="BD64">
        <v>4</v>
      </c>
      <c r="BE64">
        <v>4</v>
      </c>
      <c r="BF64">
        <v>4</v>
      </c>
      <c r="BG64" t="s">
        <v>70</v>
      </c>
      <c r="BI64" t="s">
        <v>72</v>
      </c>
    </row>
    <row r="65" spans="1:61" x14ac:dyDescent="0.35">
      <c r="A65" t="str">
        <f>IF(H65='Bộ lọc Giảng viên'!$C$5, MAX($A$1:A64)+1, "")</f>
        <v/>
      </c>
      <c r="B65" s="1">
        <v>46118.67904959491</v>
      </c>
      <c r="C65" t="s">
        <v>181</v>
      </c>
      <c r="D65" t="s">
        <v>63</v>
      </c>
      <c r="E65" t="s">
        <v>236</v>
      </c>
      <c r="F65" t="s">
        <v>183</v>
      </c>
      <c r="G65" t="s">
        <v>184</v>
      </c>
      <c r="H65" t="s">
        <v>67</v>
      </c>
      <c r="I65">
        <v>4</v>
      </c>
      <c r="J65">
        <v>3</v>
      </c>
      <c r="K65">
        <v>5</v>
      </c>
      <c r="L65">
        <v>5</v>
      </c>
      <c r="M65">
        <v>4</v>
      </c>
      <c r="N65">
        <v>4</v>
      </c>
      <c r="O65">
        <v>4</v>
      </c>
      <c r="P65">
        <v>5</v>
      </c>
      <c r="Q65">
        <v>5</v>
      </c>
      <c r="R65">
        <v>5</v>
      </c>
      <c r="S65">
        <v>4</v>
      </c>
      <c r="T65">
        <v>5</v>
      </c>
      <c r="V65" t="s">
        <v>76</v>
      </c>
      <c r="W65" t="s">
        <v>75</v>
      </c>
      <c r="X65" t="s">
        <v>76</v>
      </c>
      <c r="Y65" t="s">
        <v>75</v>
      </c>
      <c r="Z65" t="s">
        <v>75</v>
      </c>
      <c r="AA65" t="s">
        <v>237</v>
      </c>
      <c r="AB65" t="s">
        <v>238</v>
      </c>
      <c r="AC65" t="s">
        <v>69</v>
      </c>
      <c r="AD65">
        <v>4</v>
      </c>
      <c r="AE65">
        <v>3</v>
      </c>
      <c r="AF65">
        <v>4</v>
      </c>
      <c r="AG65">
        <v>5</v>
      </c>
      <c r="AH65">
        <v>4</v>
      </c>
      <c r="AI65" t="s">
        <v>70</v>
      </c>
      <c r="AK65">
        <v>5</v>
      </c>
      <c r="AL65">
        <v>5</v>
      </c>
      <c r="AM65">
        <v>5</v>
      </c>
      <c r="AN65">
        <v>4</v>
      </c>
      <c r="AO65">
        <v>3</v>
      </c>
      <c r="AP65">
        <v>3</v>
      </c>
      <c r="AQ65">
        <v>4</v>
      </c>
      <c r="AR65">
        <v>3</v>
      </c>
      <c r="AS65">
        <v>4</v>
      </c>
      <c r="AT65">
        <v>5</v>
      </c>
      <c r="AU65">
        <v>4</v>
      </c>
      <c r="AV65">
        <v>2</v>
      </c>
      <c r="AW65">
        <v>3</v>
      </c>
      <c r="AX65">
        <v>4</v>
      </c>
      <c r="AY65">
        <v>3</v>
      </c>
      <c r="AZ65">
        <v>4</v>
      </c>
      <c r="BA65">
        <v>4</v>
      </c>
      <c r="BB65">
        <v>3</v>
      </c>
      <c r="BC65">
        <v>3</v>
      </c>
      <c r="BD65">
        <v>4</v>
      </c>
      <c r="BE65">
        <v>5</v>
      </c>
      <c r="BF65">
        <v>4</v>
      </c>
      <c r="BG65" t="s">
        <v>70</v>
      </c>
      <c r="BI65" t="s">
        <v>72</v>
      </c>
    </row>
    <row r="66" spans="1:61" x14ac:dyDescent="0.35">
      <c r="A66" t="str">
        <f>IF(H66='Bộ lọc Giảng viên'!$C$5, MAX($A$1:A65)+1, "")</f>
        <v/>
      </c>
      <c r="B66" s="1">
        <v>46118.810466122683</v>
      </c>
      <c r="C66" t="s">
        <v>112</v>
      </c>
      <c r="D66" t="s">
        <v>113</v>
      </c>
      <c r="E66" t="s">
        <v>239</v>
      </c>
      <c r="F66" t="s">
        <v>115</v>
      </c>
      <c r="H66" t="s">
        <v>67</v>
      </c>
      <c r="I66">
        <v>5</v>
      </c>
      <c r="J66">
        <v>4</v>
      </c>
      <c r="K66">
        <v>5</v>
      </c>
      <c r="L66">
        <v>5</v>
      </c>
      <c r="M66">
        <v>5</v>
      </c>
      <c r="N66">
        <v>4</v>
      </c>
      <c r="O66">
        <v>4</v>
      </c>
      <c r="P66">
        <v>5</v>
      </c>
      <c r="Q66">
        <v>5</v>
      </c>
      <c r="R66">
        <v>5</v>
      </c>
      <c r="S66">
        <v>5</v>
      </c>
      <c r="T66">
        <v>5</v>
      </c>
      <c r="V66" t="s">
        <v>68</v>
      </c>
      <c r="W66" t="s">
        <v>68</v>
      </c>
      <c r="X66" t="s">
        <v>68</v>
      </c>
      <c r="Y66" t="s">
        <v>75</v>
      </c>
      <c r="Z66" t="s">
        <v>68</v>
      </c>
      <c r="AC66" t="s">
        <v>106</v>
      </c>
      <c r="AD66">
        <v>5</v>
      </c>
      <c r="AE66">
        <v>5</v>
      </c>
      <c r="AF66">
        <v>5</v>
      </c>
      <c r="AG66">
        <v>5</v>
      </c>
      <c r="AH66">
        <v>5</v>
      </c>
      <c r="AI66" t="s">
        <v>70</v>
      </c>
      <c r="AK66">
        <v>4</v>
      </c>
      <c r="AL66">
        <v>5</v>
      </c>
      <c r="AM66">
        <v>4</v>
      </c>
      <c r="AN66">
        <v>5</v>
      </c>
      <c r="AO66">
        <v>4</v>
      </c>
      <c r="AP66">
        <v>5</v>
      </c>
      <c r="AQ66">
        <v>4</v>
      </c>
      <c r="AR66">
        <v>4</v>
      </c>
      <c r="AS66">
        <v>5</v>
      </c>
      <c r="AT66">
        <v>5</v>
      </c>
      <c r="AU66">
        <v>5</v>
      </c>
      <c r="AV66">
        <v>5</v>
      </c>
      <c r="AW66">
        <v>5</v>
      </c>
      <c r="AX66">
        <v>5</v>
      </c>
      <c r="AY66">
        <v>5</v>
      </c>
      <c r="AZ66">
        <v>5</v>
      </c>
      <c r="BA66">
        <v>4</v>
      </c>
      <c r="BB66">
        <v>5</v>
      </c>
      <c r="BC66">
        <v>5</v>
      </c>
      <c r="BD66">
        <v>5</v>
      </c>
      <c r="BE66">
        <v>5</v>
      </c>
      <c r="BF66">
        <v>4</v>
      </c>
      <c r="BG66" t="s">
        <v>70</v>
      </c>
      <c r="BI66" t="s">
        <v>107</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F148"/>
  <sheetViews>
    <sheetView showGridLines="0" workbookViewId="0"/>
  </sheetViews>
  <sheetFormatPr defaultRowHeight="14.5" x14ac:dyDescent="0.35"/>
  <cols>
    <col min="1" max="1" width="12" customWidth="1"/>
    <col min="2" max="2" width="30" customWidth="1"/>
    <col min="3" max="6" width="25" customWidth="1"/>
  </cols>
  <sheetData>
    <row r="2" spans="2:6" ht="25" x14ac:dyDescent="0.7">
      <c r="B2" s="2" t="s">
        <v>240</v>
      </c>
    </row>
    <row r="3" spans="2:6" ht="16" x14ac:dyDescent="0.45">
      <c r="B3" s="3" t="s">
        <v>241</v>
      </c>
    </row>
    <row r="5" spans="2:6" ht="16" x14ac:dyDescent="0.45">
      <c r="B5" s="4" t="s">
        <v>242</v>
      </c>
      <c r="C5" t="s">
        <v>74</v>
      </c>
    </row>
    <row r="7" spans="2:6" x14ac:dyDescent="0.35">
      <c r="B7" s="31">
        <f>COUNTIF(Data_Source!$H$2:$H$1000, $C$5)</f>
        <v>8</v>
      </c>
      <c r="C7" s="30"/>
      <c r="D7" s="29">
        <f>IFERROR(AVERAGE(F13:F24), 0)</f>
        <v>4.53125</v>
      </c>
      <c r="E7" s="30"/>
    </row>
    <row r="8" spans="2:6" x14ac:dyDescent="0.35">
      <c r="B8" s="32" t="s">
        <v>243</v>
      </c>
      <c r="C8" s="30"/>
      <c r="D8" s="32" t="s">
        <v>244</v>
      </c>
      <c r="E8" s="30"/>
    </row>
    <row r="10" spans="2:6" ht="17.5" x14ac:dyDescent="0.45">
      <c r="E10" s="5" t="s">
        <v>245</v>
      </c>
    </row>
    <row r="12" spans="2:6" ht="16" x14ac:dyDescent="0.35">
      <c r="E12" s="6" t="s">
        <v>246</v>
      </c>
      <c r="F12" s="6" t="s">
        <v>247</v>
      </c>
    </row>
    <row r="13" spans="2:6" ht="16" x14ac:dyDescent="0.35">
      <c r="E13" s="7" t="s">
        <v>8</v>
      </c>
      <c r="F13" s="8">
        <f>IFERROR(AVERAGEIFS(Data_Source!$I$2:$I$1000, Data_Source!$H$2:$H$1000, $C$5), 0)</f>
        <v>4.625</v>
      </c>
    </row>
    <row r="14" spans="2:6" ht="16" x14ac:dyDescent="0.35">
      <c r="E14" s="9" t="s">
        <v>9</v>
      </c>
      <c r="F14" s="10">
        <f>IFERROR(AVERAGEIFS(Data_Source!$J$2:$J$1000, Data_Source!$H$2:$H$1000, $C$5), 0)</f>
        <v>4.125</v>
      </c>
    </row>
    <row r="15" spans="2:6" ht="16" x14ac:dyDescent="0.35">
      <c r="E15" s="7" t="s">
        <v>10</v>
      </c>
      <c r="F15" s="8">
        <f>IFERROR(AVERAGEIFS(Data_Source!$K$2:$K$1000, Data_Source!$H$2:$H$1000, $C$5), 0)</f>
        <v>4.625</v>
      </c>
    </row>
    <row r="16" spans="2:6" ht="16" x14ac:dyDescent="0.35">
      <c r="E16" s="9" t="s">
        <v>11</v>
      </c>
      <c r="F16" s="10">
        <f>IFERROR(AVERAGEIFS(Data_Source!$L$2:$L$1000, Data_Source!$H$2:$H$1000, $C$5), 0)</f>
        <v>4.75</v>
      </c>
    </row>
    <row r="17" spans="2:6" ht="16" x14ac:dyDescent="0.35">
      <c r="E17" s="7" t="s">
        <v>12</v>
      </c>
      <c r="F17" s="8">
        <f>IFERROR(AVERAGEIFS(Data_Source!$M$2:$M$1000, Data_Source!$H$2:$H$1000, $C$5), 0)</f>
        <v>4.75</v>
      </c>
    </row>
    <row r="18" spans="2:6" ht="16" x14ac:dyDescent="0.35">
      <c r="E18" s="9" t="s">
        <v>13</v>
      </c>
      <c r="F18" s="10">
        <f>IFERROR(AVERAGEIFS(Data_Source!$N$2:$N$1000, Data_Source!$H$2:$H$1000, $C$5), 0)</f>
        <v>4.25</v>
      </c>
    </row>
    <row r="19" spans="2:6" ht="16" x14ac:dyDescent="0.35">
      <c r="E19" s="7" t="s">
        <v>14</v>
      </c>
      <c r="F19" s="8">
        <f>IFERROR(AVERAGEIFS(Data_Source!$O$2:$O$1000, Data_Source!$H$2:$H$1000, $C$5), 0)</f>
        <v>4.25</v>
      </c>
    </row>
    <row r="20" spans="2:6" ht="16" x14ac:dyDescent="0.35">
      <c r="E20" s="9" t="s">
        <v>15</v>
      </c>
      <c r="F20" s="10">
        <f>IFERROR(AVERAGEIFS(Data_Source!$P$2:$P$1000, Data_Source!$H$2:$H$1000, $C$5), 0)</f>
        <v>4.75</v>
      </c>
    </row>
    <row r="21" spans="2:6" ht="16" x14ac:dyDescent="0.35">
      <c r="E21" s="7" t="s">
        <v>16</v>
      </c>
      <c r="F21" s="8">
        <f>IFERROR(AVERAGEIFS(Data_Source!$Q$2:$Q$1000, Data_Source!$H$2:$H$1000, $C$5), 0)</f>
        <v>4.75</v>
      </c>
    </row>
    <row r="22" spans="2:6" ht="16" x14ac:dyDescent="0.35">
      <c r="E22" s="9" t="s">
        <v>17</v>
      </c>
      <c r="F22" s="10">
        <f>IFERROR(AVERAGEIFS(Data_Source!$R$2:$R$1000, Data_Source!$H$2:$H$1000, $C$5), 0)</f>
        <v>4.625</v>
      </c>
    </row>
    <row r="23" spans="2:6" ht="16" x14ac:dyDescent="0.35">
      <c r="E23" s="7" t="s">
        <v>18</v>
      </c>
      <c r="F23" s="8">
        <f>IFERROR(AVERAGEIFS(Data_Source!$S$2:$S$1000, Data_Source!$H$2:$H$1000, $C$5), 0)</f>
        <v>4.5</v>
      </c>
    </row>
    <row r="24" spans="2:6" ht="16" x14ac:dyDescent="0.35">
      <c r="E24" s="9" t="s">
        <v>19</v>
      </c>
      <c r="F24" s="10">
        <f>IFERROR(AVERAGEIFS(Data_Source!$T$2:$T$1000, Data_Source!$H$2:$H$1000, $C$5), 0)</f>
        <v>4.375</v>
      </c>
    </row>
    <row r="27" spans="2:6" ht="17.5" x14ac:dyDescent="0.45">
      <c r="B27" s="5" t="s">
        <v>248</v>
      </c>
    </row>
    <row r="29" spans="2:6" ht="24" customHeight="1" x14ac:dyDescent="0.35">
      <c r="B29" s="28" t="str">
        <f>IF(ISERROR(MATCH(1, Data_Source!$A$2:$A$1000, 0)), "", "★ GIẢNG VIÊN #1: " &amp; IFERROR(VLOOKUP(1, Data_Source!$A$2:$BJ$1000, 3, FALSE) &amp; "", ""))</f>
        <v>★ GIẢNG VIÊN #1: Nguyễn Văn Lành</v>
      </c>
      <c r="C29" s="27"/>
      <c r="D29" s="27"/>
      <c r="E29" s="27"/>
      <c r="F29" s="27"/>
    </row>
    <row r="30" spans="2:6" ht="20" customHeight="1" x14ac:dyDescent="0.35">
      <c r="B30" s="11" t="str">
        <f>IF($B$29="","", "Bằng cấp:")</f>
        <v>Bằng cấp:</v>
      </c>
      <c r="C30" s="11" t="str">
        <f>IFERROR(VLOOKUP(1, Data_Source!$A$2:$BJ$1000, 4, FALSE) &amp; "", "")</f>
        <v>Tiến sĩ</v>
      </c>
      <c r="D30" s="11" t="str">
        <f>IF($B$29="","", "Học phần giảng dạy:")</f>
        <v>Học phần giảng dạy:</v>
      </c>
      <c r="E30" s="28" t="str">
        <f>IFERROR(VLOOKUP(1, Data_Source!$A$2:$BJ$1000, 5, FALSE) &amp; "", "")</f>
        <v>An toàn lao động, Máy sau thu hoạch</v>
      </c>
      <c r="F30" s="27"/>
    </row>
    <row r="31" spans="2:6" ht="24" customHeight="1" x14ac:dyDescent="0.35">
      <c r="B31" s="28" t="str">
        <f>IF($B$29="","", "Góp ý/đề xuất khác cho ngành đào tạo: " &amp; IFERROR(VLOOKUP(1, Data_Source!$A$2:$BJ$1000, 21, FALSE) &amp; "", "None"))</f>
        <v xml:space="preserve">Góp ý/đề xuất khác cho ngành đào tạo: </v>
      </c>
      <c r="C31" s="27"/>
      <c r="D31" s="27"/>
      <c r="E31" s="27"/>
      <c r="F31" s="27"/>
    </row>
    <row r="32" spans="2:6" ht="24" customHeight="1" x14ac:dyDescent="0.35">
      <c r="B32" s="28" t="str">
        <f>IF($B$29="","", "Học phần đề xuất loại bỏ: " &amp; IFERROR(VLOOKUP(1, Data_Source!$A$2:$BJ$1000, 27, FALSE) &amp; "", "None") &amp; "  |  Học phần đề xuất thêm: " &amp; IFERROR(VLOOKUP(1, Data_Source!$A$2:$BJ$1000, 28, FALSE) &amp; "", "None"))</f>
        <v xml:space="preserve">Học phần đề xuất loại bỏ:   |  Học phần đề xuất thêm: </v>
      </c>
      <c r="C32" s="27"/>
      <c r="D32" s="27"/>
      <c r="E32" s="27"/>
      <c r="F32" s="27"/>
    </row>
    <row r="33" spans="2:6" ht="40" customHeight="1" x14ac:dyDescent="0.35">
      <c r="B33" s="26" t="str">
        <f>IF($B$29="","", "Ý kiến khác: " &amp; IFERROR(VLOOKUP(1, Data_Source!$A$2:$BJ$1000, 62, FALSE) &amp; "", "None"))</f>
        <v xml:space="preserve">Ý kiến khác: </v>
      </c>
      <c r="C33" s="27"/>
      <c r="D33" s="27"/>
      <c r="E33" s="27"/>
      <c r="F33" s="27"/>
    </row>
    <row r="34" spans="2:6" ht="12" customHeight="1" x14ac:dyDescent="0.35"/>
    <row r="35" spans="2:6" ht="24" customHeight="1" x14ac:dyDescent="0.35">
      <c r="B35" s="28" t="str">
        <f>IF(ISERROR(MATCH(2, Data_Source!$A$2:$A$1000, 0)), "", "★ GIẢNG VIÊN #2: " &amp; IFERROR(VLOOKUP(2, Data_Source!$A$2:$BJ$1000, 3, FALSE) &amp; "", ""))</f>
        <v>★ GIẢNG VIÊN #2: Nguyễn Thanh Nghị</v>
      </c>
      <c r="C35" s="27"/>
      <c r="D35" s="27"/>
      <c r="E35" s="27"/>
      <c r="F35" s="27"/>
    </row>
    <row r="36" spans="2:6" ht="20" customHeight="1" x14ac:dyDescent="0.35">
      <c r="B36" s="11" t="str">
        <f>IF($B$35="","", "Bằng cấp:")</f>
        <v>Bằng cấp:</v>
      </c>
      <c r="C36" s="11" t="str">
        <f>IFERROR(VLOOKUP(2, Data_Source!$A$2:$BJ$1000, 4, FALSE) &amp; "", "")</f>
        <v>Tiến sĩ</v>
      </c>
      <c r="D36" s="11" t="str">
        <f>IF($B$35="","", "Học phần giảng dạy:")</f>
        <v>Học phần giảng dạy:</v>
      </c>
      <c r="E36" s="28" t="str">
        <f>IFERROR(VLOOKUP(2, Data_Source!$A$2:$BJ$1000, 5, FALSE) &amp; "", "")</f>
        <v>Máy nông nghiệp; Máy thu hoạch; Anh văn kỹ thuật</v>
      </c>
      <c r="F36" s="27"/>
    </row>
    <row r="37" spans="2:6" ht="24" customHeight="1" x14ac:dyDescent="0.35">
      <c r="B37" s="28" t="str">
        <f>IF($B$35="","", "Góp ý/đề xuất khác cho ngành đào tạo: " &amp; IFERROR(VLOOKUP(2, Data_Source!$A$2:$BJ$1000, 21, FALSE) &amp; "", "None"))</f>
        <v xml:space="preserve">Góp ý/đề xuất khác cho ngành đào tạo: </v>
      </c>
      <c r="C37" s="27"/>
      <c r="D37" s="27"/>
      <c r="E37" s="27"/>
      <c r="F37" s="27"/>
    </row>
    <row r="38" spans="2:6" ht="24" customHeight="1" x14ac:dyDescent="0.35">
      <c r="B38" s="28" t="str">
        <f>IF($B$35="","", "Học phần đề xuất loại bỏ: " &amp; IFERROR(VLOOKUP(2, Data_Source!$A$2:$BJ$1000, 27, FALSE) &amp; "", "None") &amp; "  |  Học phần đề xuất thêm: " &amp; IFERROR(VLOOKUP(2, Data_Source!$A$2:$BJ$1000, 28, FALSE) &amp; "", "None"))</f>
        <v xml:space="preserve">Học phần đề xuất loại bỏ:   |  Học phần đề xuất thêm: </v>
      </c>
      <c r="C38" s="27"/>
      <c r="D38" s="27"/>
      <c r="E38" s="27"/>
      <c r="F38" s="27"/>
    </row>
    <row r="39" spans="2:6" ht="40" customHeight="1" x14ac:dyDescent="0.35">
      <c r="B39" s="26" t="str">
        <f>IF($B$35="","", "Ý kiến khác: " &amp; IFERROR(VLOOKUP(2, Data_Source!$A$2:$BJ$1000, 62, FALSE) &amp; "", "None"))</f>
        <v xml:space="preserve">Ý kiến khác: </v>
      </c>
      <c r="C39" s="27"/>
      <c r="D39" s="27"/>
      <c r="E39" s="27"/>
      <c r="F39" s="27"/>
    </row>
    <row r="40" spans="2:6" ht="12" customHeight="1" x14ac:dyDescent="0.35"/>
    <row r="41" spans="2:6" ht="24" customHeight="1" x14ac:dyDescent="0.35">
      <c r="B41" s="28" t="str">
        <f>IF(ISERROR(MATCH(3, Data_Source!$A$2:$A$1000, 0)), "", "★ GIẢNG VIÊN #3: " &amp; IFERROR(VLOOKUP(3, Data_Source!$A$2:$BJ$1000, 3, FALSE) &amp; "", ""))</f>
        <v>★ GIẢNG VIÊN #3: Nguyễn Văn Tuấn Anh</v>
      </c>
      <c r="C41" s="27"/>
      <c r="D41" s="27"/>
      <c r="E41" s="27"/>
      <c r="F41" s="27"/>
    </row>
    <row r="42" spans="2:6" ht="20" customHeight="1" x14ac:dyDescent="0.35">
      <c r="B42" s="11" t="str">
        <f>IF($B$41="","", "Bằng cấp:")</f>
        <v>Bằng cấp:</v>
      </c>
      <c r="C42" s="11" t="str">
        <f>IFERROR(VLOOKUP(3, Data_Source!$A$2:$BJ$1000, 4, FALSE) &amp; "", "")</f>
        <v>Thạc sĩ</v>
      </c>
      <c r="D42" s="11" t="str">
        <f>IF($B$41="","", "Học phần giảng dạy:")</f>
        <v>Học phần giảng dạy:</v>
      </c>
      <c r="E42" s="28" t="str">
        <f>IFERROR(VLOOKUP(3, Data_Source!$A$2:$BJ$1000, 5, FALSE) &amp; "", "")</f>
        <v>Động cơ đốt trong, bảo dưỡng kỹ thuật 1, 2</v>
      </c>
      <c r="F42" s="27"/>
    </row>
    <row r="43" spans="2:6" ht="24" customHeight="1" x14ac:dyDescent="0.35">
      <c r="B43" s="28" t="str">
        <f>IF($B$41="","", "Góp ý/đề xuất khác cho ngành đào tạo: " &amp; IFERROR(VLOOKUP(3, Data_Source!$A$2:$BJ$1000, 21, FALSE) &amp; "", "None"))</f>
        <v xml:space="preserve">Góp ý/đề xuất khác cho ngành đào tạo: </v>
      </c>
      <c r="C43" s="27"/>
      <c r="D43" s="27"/>
      <c r="E43" s="27"/>
      <c r="F43" s="27"/>
    </row>
    <row r="44" spans="2:6" ht="24" customHeight="1" x14ac:dyDescent="0.35">
      <c r="B44" s="28" t="str">
        <f>IF($B$41="","", "Học phần đề xuất loại bỏ: " &amp; IFERROR(VLOOKUP(3, Data_Source!$A$2:$BJ$1000, 27, FALSE) &amp; "", "None") &amp; "  |  Học phần đề xuất thêm: " &amp; IFERROR(VLOOKUP(3, Data_Source!$A$2:$BJ$1000, 28, FALSE) &amp; "", "None"))</f>
        <v xml:space="preserve">Học phần đề xuất loại bỏ:   |  Học phần đề xuất thêm: </v>
      </c>
      <c r="C44" s="27"/>
      <c r="D44" s="27"/>
      <c r="E44" s="27"/>
      <c r="F44" s="27"/>
    </row>
    <row r="45" spans="2:6" ht="40" customHeight="1" x14ac:dyDescent="0.35">
      <c r="B45" s="26" t="str">
        <f>IF($B$41="","", "Ý kiến khác: " &amp; IFERROR(VLOOKUP(3, Data_Source!$A$2:$BJ$1000, 62, FALSE) &amp; "", "None"))</f>
        <v xml:space="preserve">Ý kiến khác: </v>
      </c>
      <c r="C45" s="27"/>
      <c r="D45" s="27"/>
      <c r="E45" s="27"/>
      <c r="F45" s="27"/>
    </row>
    <row r="46" spans="2:6" ht="12" customHeight="1" x14ac:dyDescent="0.35"/>
    <row r="47" spans="2:6" ht="24" customHeight="1" x14ac:dyDescent="0.35">
      <c r="B47" s="28" t="str">
        <f>IF(ISERROR(MATCH(4, Data_Source!$A$2:$A$1000, 0)), "", "★ GIẢNG VIÊN #4: " &amp; IFERROR(VLOOKUP(4, Data_Source!$A$2:$BJ$1000, 3, FALSE) &amp; "", ""))</f>
        <v>★ GIẢNG VIÊN #4: Nguyễn Thị Kiều Hạnh</v>
      </c>
      <c r="C47" s="27"/>
      <c r="D47" s="27"/>
      <c r="E47" s="27"/>
      <c r="F47" s="27"/>
    </row>
    <row r="48" spans="2:6" ht="20" customHeight="1" x14ac:dyDescent="0.35">
      <c r="B48" s="11" t="str">
        <f>IF($B$47="","", "Bằng cấp:")</f>
        <v>Bằng cấp:</v>
      </c>
      <c r="C48" s="11" t="str">
        <f>IFERROR(VLOOKUP(4, Data_Source!$A$2:$BJ$1000, 4, FALSE) &amp; "", "")</f>
        <v>Thạc sĩ</v>
      </c>
      <c r="D48" s="11" t="str">
        <f>IF($B$47="","", "Học phần giảng dạy:")</f>
        <v>Học phần giảng dạy:</v>
      </c>
      <c r="E48" s="28" t="str">
        <f>IFERROR(VLOOKUP(4, Data_Source!$A$2:$BJ$1000, 5, FALSE) &amp; "", "")</f>
        <v>Hình họa họa hình - Vẽ kỹ thuật, Vẽ kỹ thuật 2, Vẽ cơ khí, Chi tiết máy, Đồ án chi tiết máy</v>
      </c>
      <c r="F48" s="27"/>
    </row>
    <row r="49" spans="2:6" ht="24" customHeight="1" x14ac:dyDescent="0.35">
      <c r="B49" s="28" t="str">
        <f>IF($B$47="","", "Góp ý/đề xuất khác cho ngành đào tạo: " &amp; IFERROR(VLOOKUP(4, Data_Source!$A$2:$BJ$1000, 21, FALSE) &amp; "", "None"))</f>
        <v xml:space="preserve">Góp ý/đề xuất khác cho ngành đào tạo: </v>
      </c>
      <c r="C49" s="27"/>
      <c r="D49" s="27"/>
      <c r="E49" s="27"/>
      <c r="F49" s="27"/>
    </row>
    <row r="50" spans="2:6" ht="24" customHeight="1" x14ac:dyDescent="0.35">
      <c r="B50" s="28" t="str">
        <f>IF($B$47="","", "Học phần đề xuất loại bỏ: " &amp; IFERROR(VLOOKUP(4, Data_Source!$A$2:$BJ$1000, 27, FALSE) &amp; "", "None") &amp; "  |  Học phần đề xuất thêm: " &amp; IFERROR(VLOOKUP(4, Data_Source!$A$2:$BJ$1000, 28, FALSE) &amp; "", "None"))</f>
        <v xml:space="preserve">Học phần đề xuất loại bỏ:   |  Học phần đề xuất thêm: </v>
      </c>
      <c r="C50" s="27"/>
      <c r="D50" s="27"/>
      <c r="E50" s="27"/>
      <c r="F50" s="27"/>
    </row>
    <row r="51" spans="2:6" ht="40" customHeight="1" x14ac:dyDescent="0.35">
      <c r="B51" s="26" t="str">
        <f>IF($B$47="","", "Ý kiến khác: " &amp; IFERROR(VLOOKUP(4, Data_Source!$A$2:$BJ$1000, 62, FALSE) &amp; "", "None"))</f>
        <v xml:space="preserve">Ý kiến khác: </v>
      </c>
      <c r="C51" s="27"/>
      <c r="D51" s="27"/>
      <c r="E51" s="27"/>
      <c r="F51" s="27"/>
    </row>
    <row r="52" spans="2:6" ht="12" customHeight="1" x14ac:dyDescent="0.35"/>
    <row r="53" spans="2:6" ht="24" customHeight="1" x14ac:dyDescent="0.35">
      <c r="B53" s="28" t="str">
        <f>IF(ISERROR(MATCH(5, Data_Source!$A$2:$A$1000, 0)), "", "★ GIẢNG VIÊN #5: " &amp; IFERROR(VLOOKUP(5, Data_Source!$A$2:$BJ$1000, 3, FALSE) &amp; "", ""))</f>
        <v>★ GIẢNG VIÊN #5: Phan Minh Hiếu</v>
      </c>
      <c r="C53" s="27"/>
      <c r="D53" s="27"/>
      <c r="E53" s="27"/>
      <c r="F53" s="27"/>
    </row>
    <row r="54" spans="2:6" ht="20" customHeight="1" x14ac:dyDescent="0.35">
      <c r="B54" s="11" t="str">
        <f>IF($B$53="","", "Bằng cấp:")</f>
        <v>Bằng cấp:</v>
      </c>
      <c r="C54" s="11" t="str">
        <f>IFERROR(VLOOKUP(5, Data_Source!$A$2:$BJ$1000, 4, FALSE) &amp; "", "")</f>
        <v>Thạc sĩ</v>
      </c>
      <c r="D54" s="11" t="str">
        <f>IF($B$53="","", "Học phần giảng dạy:")</f>
        <v>Học phần giảng dạy:</v>
      </c>
      <c r="E54" s="28" t="str">
        <f>IFERROR(VLOOKUP(5, Data_Source!$A$2:$BJ$1000, 5, FALSE) &amp; "", "")</f>
        <v>207126; 207154; 207603</v>
      </c>
      <c r="F54" s="27"/>
    </row>
    <row r="55" spans="2:6" ht="24" customHeight="1" x14ac:dyDescent="0.35">
      <c r="B55" s="28" t="str">
        <f>IF($B$53="","", "Góp ý/đề xuất khác cho ngành đào tạo: " &amp; IFERROR(VLOOKUP(5, Data_Source!$A$2:$BJ$1000, 21, FALSE) &amp; "", "None"))</f>
        <v xml:space="preserve">Góp ý/đề xuất khác cho ngành đào tạo: </v>
      </c>
      <c r="C55" s="27"/>
      <c r="D55" s="27"/>
      <c r="E55" s="27"/>
      <c r="F55" s="27"/>
    </row>
    <row r="56" spans="2:6" ht="24" customHeight="1" x14ac:dyDescent="0.35">
      <c r="B56" s="28" t="str">
        <f>IF($B$53="","", "Học phần đề xuất loại bỏ: " &amp; IFERROR(VLOOKUP(5, Data_Source!$A$2:$BJ$1000, 27, FALSE) &amp; "", "None") &amp; "  |  Học phần đề xuất thêm: " &amp; IFERROR(VLOOKUP(5, Data_Source!$A$2:$BJ$1000, 28, FALSE) &amp; "", "None"))</f>
        <v xml:space="preserve">Học phần đề xuất loại bỏ:   |  Học phần đề xuất thêm: </v>
      </c>
      <c r="C56" s="27"/>
      <c r="D56" s="27"/>
      <c r="E56" s="27"/>
      <c r="F56" s="27"/>
    </row>
    <row r="57" spans="2:6" ht="40" customHeight="1" x14ac:dyDescent="0.35">
      <c r="B57" s="26" t="str">
        <f>IF($B$53="","", "Ý kiến khác: " &amp; IFERROR(VLOOKUP(5, Data_Source!$A$2:$BJ$1000, 62, FALSE) &amp; "", "None"))</f>
        <v xml:space="preserve">Ý kiến khác: </v>
      </c>
      <c r="C57" s="27"/>
      <c r="D57" s="27"/>
      <c r="E57" s="27"/>
      <c r="F57" s="27"/>
    </row>
    <row r="58" spans="2:6" ht="12" customHeight="1" x14ac:dyDescent="0.35"/>
    <row r="59" spans="2:6" ht="24" customHeight="1" x14ac:dyDescent="0.35">
      <c r="B59" s="28" t="str">
        <f>IF(ISERROR(MATCH(6, Data_Source!$A$2:$A$1000, 0)), "", "★ GIẢNG VIÊN #6: " &amp; IFERROR(VLOOKUP(6, Data_Source!$A$2:$BJ$1000, 3, FALSE) &amp; "", ""))</f>
        <v>★ GIẢNG VIÊN #6: Lê Quang Hiền</v>
      </c>
      <c r="C59" s="27"/>
      <c r="D59" s="27"/>
      <c r="E59" s="27"/>
      <c r="F59" s="27"/>
    </row>
    <row r="60" spans="2:6" ht="20" customHeight="1" x14ac:dyDescent="0.35">
      <c r="B60" s="11" t="str">
        <f>IF($B$59="","", "Bằng cấp:")</f>
        <v>Bằng cấp:</v>
      </c>
      <c r="C60" s="11" t="str">
        <f>IFERROR(VLOOKUP(6, Data_Source!$A$2:$BJ$1000, 4, FALSE) &amp; "", "")</f>
        <v>Thạc sĩ</v>
      </c>
      <c r="D60" s="11" t="str">
        <f>IF($B$59="","", "Học phần giảng dạy:")</f>
        <v>Học phần giảng dạy:</v>
      </c>
      <c r="E60" s="28" t="str">
        <f>IFERROR(VLOOKUP(6, Data_Source!$A$2:$BJ$1000, 5, FALSE) &amp; "", "")</f>
        <v>Kỹ thuật điện</v>
      </c>
      <c r="F60" s="27"/>
    </row>
    <row r="61" spans="2:6" ht="24" customHeight="1" x14ac:dyDescent="0.35">
      <c r="B61" s="28" t="str">
        <f>IF($B$59="","", "Góp ý/đề xuất khác cho ngành đào tạo: " &amp; IFERROR(VLOOKUP(6, Data_Source!$A$2:$BJ$1000, 21, FALSE) &amp; "", "None"))</f>
        <v xml:space="preserve">Góp ý/đề xuất khác cho ngành đào tạo: </v>
      </c>
      <c r="C61" s="27"/>
      <c r="D61" s="27"/>
      <c r="E61" s="27"/>
      <c r="F61" s="27"/>
    </row>
    <row r="62" spans="2:6" ht="24" customHeight="1" x14ac:dyDescent="0.35">
      <c r="B62" s="28" t="str">
        <f>IF($B$59="","", "Học phần đề xuất loại bỏ: " &amp; IFERROR(VLOOKUP(6, Data_Source!$A$2:$BJ$1000, 27, FALSE) &amp; "", "None") &amp; "  |  Học phần đề xuất thêm: " &amp; IFERROR(VLOOKUP(6, Data_Source!$A$2:$BJ$1000, 28, FALSE) &amp; "", "None"))</f>
        <v xml:space="preserve">Học phần đề xuất loại bỏ:   |  Học phần đề xuất thêm: </v>
      </c>
      <c r="C62" s="27"/>
      <c r="D62" s="27"/>
      <c r="E62" s="27"/>
      <c r="F62" s="27"/>
    </row>
    <row r="63" spans="2:6" ht="40" customHeight="1" x14ac:dyDescent="0.35">
      <c r="B63" s="26" t="str">
        <f>IF($B$59="","", "Ý kiến khác: " &amp; IFERROR(VLOOKUP(6, Data_Source!$A$2:$BJ$1000, 62, FALSE) &amp; "", "None"))</f>
        <v xml:space="preserve">Ý kiến khác: </v>
      </c>
      <c r="C63" s="27"/>
      <c r="D63" s="27"/>
      <c r="E63" s="27"/>
      <c r="F63" s="27"/>
    </row>
    <row r="64" spans="2:6" ht="12" customHeight="1" x14ac:dyDescent="0.35"/>
    <row r="65" spans="2:6" ht="24" customHeight="1" x14ac:dyDescent="0.35">
      <c r="B65" s="28" t="str">
        <f>IF(ISERROR(MATCH(7, Data_Source!$A$2:$A$1000, 0)), "", "★ GIẢNG VIÊN #7: " &amp; IFERROR(VLOOKUP(7, Data_Source!$A$2:$BJ$1000, 3, FALSE) &amp; "", ""))</f>
        <v>★ GIẢNG VIÊN #7: Lê Văn Tuấn</v>
      </c>
      <c r="C65" s="27"/>
      <c r="D65" s="27"/>
      <c r="E65" s="27"/>
      <c r="F65" s="27"/>
    </row>
    <row r="66" spans="2:6" ht="20" customHeight="1" x14ac:dyDescent="0.35">
      <c r="B66" s="11" t="str">
        <f>IF($B$65="","", "Bằng cấp:")</f>
        <v>Bằng cấp:</v>
      </c>
      <c r="C66" s="11" t="str">
        <f>IFERROR(VLOOKUP(7, Data_Source!$A$2:$BJ$1000, 4, FALSE) &amp; "", "")</f>
        <v>Thạc sĩ</v>
      </c>
      <c r="D66" s="11" t="str">
        <f>IF($B$65="","", "Học phần giảng dạy:")</f>
        <v>Học phần giảng dạy:</v>
      </c>
      <c r="E66" s="28" t="str">
        <f>IFERROR(VLOOKUP(7, Data_Source!$A$2:$BJ$1000, 5, FALSE) &amp; "", "")</f>
        <v>AutoCAD, UDTHTTKM, Thực tập gia công Hàn Nguội</v>
      </c>
      <c r="F66" s="27"/>
    </row>
    <row r="67" spans="2:6" ht="24" customHeight="1" x14ac:dyDescent="0.35">
      <c r="B67" s="28" t="str">
        <f>IF($B$65="","", "Góp ý/đề xuất khác cho ngành đào tạo: " &amp; IFERROR(VLOOKUP(7, Data_Source!$A$2:$BJ$1000, 21, FALSE) &amp; "", "None"))</f>
        <v xml:space="preserve">Góp ý/đề xuất khác cho ngành đào tạo: </v>
      </c>
      <c r="C67" s="27"/>
      <c r="D67" s="27"/>
      <c r="E67" s="27"/>
      <c r="F67" s="27"/>
    </row>
    <row r="68" spans="2:6" ht="24" customHeight="1" x14ac:dyDescent="0.35">
      <c r="B68" s="28" t="str">
        <f>IF($B$65="","", "Học phần đề xuất loại bỏ: " &amp; IFERROR(VLOOKUP(7, Data_Source!$A$2:$BJ$1000, 27, FALSE) &amp; "", "None") &amp; "  |  Học phần đề xuất thêm: " &amp; IFERROR(VLOOKUP(7, Data_Source!$A$2:$BJ$1000, 28, FALSE) &amp; "", "None"))</f>
        <v xml:space="preserve">Học phần đề xuất loại bỏ:   |  Học phần đề xuất thêm: </v>
      </c>
      <c r="C68" s="27"/>
      <c r="D68" s="27"/>
      <c r="E68" s="27"/>
      <c r="F68" s="27"/>
    </row>
    <row r="69" spans="2:6" ht="40" customHeight="1" x14ac:dyDescent="0.35">
      <c r="B69" s="26" t="str">
        <f>IF($B$65="","", "Ý kiến khác: " &amp; IFERROR(VLOOKUP(7, Data_Source!$A$2:$BJ$1000, 62, FALSE) &amp; "", "None"))</f>
        <v xml:space="preserve">Ý kiến khác: </v>
      </c>
      <c r="C69" s="27"/>
      <c r="D69" s="27"/>
      <c r="E69" s="27"/>
      <c r="F69" s="27"/>
    </row>
    <row r="70" spans="2:6" ht="12" customHeight="1" x14ac:dyDescent="0.35"/>
    <row r="71" spans="2:6" ht="24" customHeight="1" x14ac:dyDescent="0.35">
      <c r="B71" s="28" t="str">
        <f>IF(ISERROR(MATCH(8, Data_Source!$A$2:$A$1000, 0)), "", "★ GIẢNG VIÊN #8: " &amp; IFERROR(VLOOKUP(8, Data_Source!$A$2:$BJ$1000, 3, FALSE) &amp; "", ""))</f>
        <v>★ GIẢNG VIÊN #8: TRƯƠNG QUANG TRƯỜNG</v>
      </c>
      <c r="C71" s="27"/>
      <c r="D71" s="27"/>
      <c r="E71" s="27"/>
      <c r="F71" s="27"/>
    </row>
    <row r="72" spans="2:6" ht="20" customHeight="1" x14ac:dyDescent="0.35">
      <c r="B72" s="11" t="str">
        <f>IF($B$71="","", "Bằng cấp:")</f>
        <v>Bằng cấp:</v>
      </c>
      <c r="C72" s="11" t="str">
        <f>IFERROR(VLOOKUP(8, Data_Source!$A$2:$BJ$1000, 4, FALSE) &amp; "", "")</f>
        <v>Thạc sĩ</v>
      </c>
      <c r="D72" s="11" t="str">
        <f>IF($B$71="","", "Học phần giảng dạy:")</f>
        <v>Học phần giảng dạy:</v>
      </c>
      <c r="E72" s="28" t="str">
        <f>IFERROR(VLOOKUP(8, Data_Source!$A$2:$BJ$1000, 5, FALSE) &amp; "", "")</f>
        <v>Nguyên lý máy, Sức bền vật liệu, Cơ học ứng dụng,...</v>
      </c>
      <c r="F72" s="27"/>
    </row>
    <row r="73" spans="2:6" ht="24" customHeight="1" x14ac:dyDescent="0.35">
      <c r="B73" s="28" t="str">
        <f>IF($B$71="","", "Góp ý/đề xuất khác cho ngành đào tạo: " &amp; IFERROR(VLOOKUP(8, Data_Source!$A$2:$BJ$1000, 21, FALSE) &amp; "", "None"))</f>
        <v xml:space="preserve">Góp ý/đề xuất khác cho ngành đào tạo: </v>
      </c>
      <c r="C73" s="27"/>
      <c r="D73" s="27"/>
      <c r="E73" s="27"/>
      <c r="F73" s="27"/>
    </row>
    <row r="74" spans="2:6" ht="24" customHeight="1" x14ac:dyDescent="0.35">
      <c r="B74" s="28" t="str">
        <f>IF($B$71="","", "Học phần đề xuất loại bỏ: " &amp; IFERROR(VLOOKUP(8, Data_Source!$A$2:$BJ$1000, 27, FALSE) &amp; "", "None") &amp; "  |  Học phần đề xuất thêm: " &amp; IFERROR(VLOOKUP(8, Data_Source!$A$2:$BJ$1000, 28, FALSE) &amp; "", "None"))</f>
        <v xml:space="preserve">Học phần đề xuất loại bỏ:   |  Học phần đề xuất thêm: </v>
      </c>
      <c r="C74" s="27"/>
      <c r="D74" s="27"/>
      <c r="E74" s="27"/>
      <c r="F74" s="27"/>
    </row>
    <row r="75" spans="2:6" ht="40" customHeight="1" x14ac:dyDescent="0.35">
      <c r="B75" s="26" t="str">
        <f>IF($B$71="","", "Ý kiến khác: " &amp; IFERROR(VLOOKUP(8, Data_Source!$A$2:$BJ$1000, 62, FALSE) &amp; "", "None"))</f>
        <v xml:space="preserve">Ý kiến khác: </v>
      </c>
      <c r="C75" s="27"/>
      <c r="D75" s="27"/>
      <c r="E75" s="27"/>
      <c r="F75" s="27"/>
    </row>
    <row r="76" spans="2:6" ht="12" customHeight="1" x14ac:dyDescent="0.35"/>
    <row r="77" spans="2:6" ht="24" customHeight="1" x14ac:dyDescent="0.35">
      <c r="B77" s="28" t="str">
        <f>IF(ISERROR(MATCH(9, Data_Source!$A$2:$A$1000, 0)), "", "★ GIẢNG VIÊN #9: " &amp; IFERROR(VLOOKUP(9, Data_Source!$A$2:$BJ$1000, 3, FALSE) &amp; "", ""))</f>
        <v/>
      </c>
      <c r="C77" s="27"/>
      <c r="D77" s="27"/>
      <c r="E77" s="27"/>
      <c r="F77" s="27"/>
    </row>
    <row r="78" spans="2:6" ht="20" customHeight="1" x14ac:dyDescent="0.35">
      <c r="B78" s="11" t="str">
        <f>IF($B$77="","", "Bằng cấp:")</f>
        <v/>
      </c>
      <c r="C78" s="11" t="str">
        <f>IFERROR(VLOOKUP(9, Data_Source!$A$2:$BJ$1000, 4, FALSE) &amp; "", "")</f>
        <v/>
      </c>
      <c r="D78" s="11" t="str">
        <f>IF($B$77="","", "Học phần giảng dạy:")</f>
        <v/>
      </c>
      <c r="E78" s="28" t="str">
        <f>IFERROR(VLOOKUP(9, Data_Source!$A$2:$BJ$1000, 5, FALSE) &amp; "", "")</f>
        <v/>
      </c>
      <c r="F78" s="27"/>
    </row>
    <row r="79" spans="2:6" ht="24" customHeight="1" x14ac:dyDescent="0.35">
      <c r="B79" s="28" t="str">
        <f>IF($B$77="","", "Góp ý/đề xuất khác cho ngành đào tạo: " &amp; IFERROR(VLOOKUP(9, Data_Source!$A$2:$BJ$1000, 21, FALSE) &amp; "", "None"))</f>
        <v/>
      </c>
      <c r="C79" s="27"/>
      <c r="D79" s="27"/>
      <c r="E79" s="27"/>
      <c r="F79" s="27"/>
    </row>
    <row r="80" spans="2:6" ht="24" customHeight="1" x14ac:dyDescent="0.35">
      <c r="B80" s="28" t="str">
        <f>IF($B$77="","", "Học phần đề xuất loại bỏ: " &amp; IFERROR(VLOOKUP(9, Data_Source!$A$2:$BJ$1000, 27, FALSE) &amp; "", "None") &amp; "  |  Học phần đề xuất thêm: " &amp; IFERROR(VLOOKUP(9, Data_Source!$A$2:$BJ$1000, 28, FALSE) &amp; "", "None"))</f>
        <v/>
      </c>
      <c r="C80" s="27"/>
      <c r="D80" s="27"/>
      <c r="E80" s="27"/>
      <c r="F80" s="27"/>
    </row>
    <row r="81" spans="2:6" ht="40" customHeight="1" x14ac:dyDescent="0.35">
      <c r="B81" s="26" t="str">
        <f>IF($B$77="","", "Ý kiến khác: " &amp; IFERROR(VLOOKUP(9, Data_Source!$A$2:$BJ$1000, 62, FALSE) &amp; "", "None"))</f>
        <v/>
      </c>
      <c r="C81" s="27"/>
      <c r="D81" s="27"/>
      <c r="E81" s="27"/>
      <c r="F81" s="27"/>
    </row>
    <row r="82" spans="2:6" ht="12" customHeight="1" x14ac:dyDescent="0.35"/>
    <row r="83" spans="2:6" ht="24" customHeight="1" x14ac:dyDescent="0.35">
      <c r="B83" s="28" t="str">
        <f>IF(ISERROR(MATCH(10, Data_Source!$A$2:$A$1000, 0)), "", "★ GIẢNG VIÊN #10: " &amp; IFERROR(VLOOKUP(10, Data_Source!$A$2:$BJ$1000, 3, FALSE) &amp; "", ""))</f>
        <v/>
      </c>
      <c r="C83" s="27"/>
      <c r="D83" s="27"/>
      <c r="E83" s="27"/>
      <c r="F83" s="27"/>
    </row>
    <row r="84" spans="2:6" ht="20" customHeight="1" x14ac:dyDescent="0.35">
      <c r="B84" s="11" t="str">
        <f>IF($B$83="","", "Bằng cấp:")</f>
        <v/>
      </c>
      <c r="C84" s="11" t="str">
        <f>IFERROR(VLOOKUP(10, Data_Source!$A$2:$BJ$1000, 4, FALSE) &amp; "", "")</f>
        <v/>
      </c>
      <c r="D84" s="11" t="str">
        <f>IF($B$83="","", "Học phần giảng dạy:")</f>
        <v/>
      </c>
      <c r="E84" s="28" t="str">
        <f>IFERROR(VLOOKUP(10, Data_Source!$A$2:$BJ$1000, 5, FALSE) &amp; "", "")</f>
        <v/>
      </c>
      <c r="F84" s="27"/>
    </row>
    <row r="85" spans="2:6" ht="24" customHeight="1" x14ac:dyDescent="0.35">
      <c r="B85" s="28" t="str">
        <f>IF($B$83="","", "Góp ý/đề xuất khác cho ngành đào tạo: " &amp; IFERROR(VLOOKUP(10, Data_Source!$A$2:$BJ$1000, 21, FALSE) &amp; "", "None"))</f>
        <v/>
      </c>
      <c r="C85" s="27"/>
      <c r="D85" s="27"/>
      <c r="E85" s="27"/>
      <c r="F85" s="27"/>
    </row>
    <row r="86" spans="2:6" ht="24" customHeight="1" x14ac:dyDescent="0.35">
      <c r="B86" s="28" t="str">
        <f>IF($B$83="","", "Học phần đề xuất loại bỏ: " &amp; IFERROR(VLOOKUP(10, Data_Source!$A$2:$BJ$1000, 27, FALSE) &amp; "", "None") &amp; "  |  Học phần đề xuất thêm: " &amp; IFERROR(VLOOKUP(10, Data_Source!$A$2:$BJ$1000, 28, FALSE) &amp; "", "None"))</f>
        <v/>
      </c>
      <c r="C86" s="27"/>
      <c r="D86" s="27"/>
      <c r="E86" s="27"/>
      <c r="F86" s="27"/>
    </row>
    <row r="87" spans="2:6" ht="40" customHeight="1" x14ac:dyDescent="0.35">
      <c r="B87" s="26" t="str">
        <f>IF($B$83="","", "Ý kiến khác: " &amp; IFERROR(VLOOKUP(10, Data_Source!$A$2:$BJ$1000, 62, FALSE) &amp; "", "None"))</f>
        <v/>
      </c>
      <c r="C87" s="27"/>
      <c r="D87" s="27"/>
      <c r="E87" s="27"/>
      <c r="F87" s="27"/>
    </row>
    <row r="88" spans="2:6" ht="12" customHeight="1" x14ac:dyDescent="0.35"/>
    <row r="89" spans="2:6" ht="24" customHeight="1" x14ac:dyDescent="0.35">
      <c r="B89" s="28" t="str">
        <f>IF(ISERROR(MATCH(11, Data_Source!$A$2:$A$1000, 0)), "", "★ GIẢNG VIÊN #11: " &amp; IFERROR(VLOOKUP(11, Data_Source!$A$2:$BJ$1000, 3, FALSE) &amp; "", ""))</f>
        <v/>
      </c>
      <c r="C89" s="27"/>
      <c r="D89" s="27"/>
      <c r="E89" s="27"/>
      <c r="F89" s="27"/>
    </row>
    <row r="90" spans="2:6" ht="20" customHeight="1" x14ac:dyDescent="0.35">
      <c r="B90" s="11" t="str">
        <f>IF($B$89="","", "Bằng cấp:")</f>
        <v/>
      </c>
      <c r="C90" s="11" t="str">
        <f>IFERROR(VLOOKUP(11, Data_Source!$A$2:$BJ$1000, 4, FALSE) &amp; "", "")</f>
        <v/>
      </c>
      <c r="D90" s="11" t="str">
        <f>IF($B$89="","", "Học phần giảng dạy:")</f>
        <v/>
      </c>
      <c r="E90" s="28" t="str">
        <f>IFERROR(VLOOKUP(11, Data_Source!$A$2:$BJ$1000, 5, FALSE) &amp; "", "")</f>
        <v/>
      </c>
      <c r="F90" s="27"/>
    </row>
    <row r="91" spans="2:6" ht="24" customHeight="1" x14ac:dyDescent="0.35">
      <c r="B91" s="28" t="str">
        <f>IF($B$89="","", "Góp ý/đề xuất khác cho ngành đào tạo: " &amp; IFERROR(VLOOKUP(11, Data_Source!$A$2:$BJ$1000, 21, FALSE) &amp; "", "None"))</f>
        <v/>
      </c>
      <c r="C91" s="27"/>
      <c r="D91" s="27"/>
      <c r="E91" s="27"/>
      <c r="F91" s="27"/>
    </row>
    <row r="92" spans="2:6" ht="24" customHeight="1" x14ac:dyDescent="0.35">
      <c r="B92" s="28" t="str">
        <f>IF($B$89="","", "Học phần đề xuất loại bỏ: " &amp; IFERROR(VLOOKUP(11, Data_Source!$A$2:$BJ$1000, 27, FALSE) &amp; "", "None") &amp; "  |  Học phần đề xuất thêm: " &amp; IFERROR(VLOOKUP(11, Data_Source!$A$2:$BJ$1000, 28, FALSE) &amp; "", "None"))</f>
        <v/>
      </c>
      <c r="C92" s="27"/>
      <c r="D92" s="27"/>
      <c r="E92" s="27"/>
      <c r="F92" s="27"/>
    </row>
    <row r="93" spans="2:6" ht="40" customHeight="1" x14ac:dyDescent="0.35">
      <c r="B93" s="26" t="str">
        <f>IF($B$89="","", "Ý kiến khác: " &amp; IFERROR(VLOOKUP(11, Data_Source!$A$2:$BJ$1000, 62, FALSE) &amp; "", "None"))</f>
        <v/>
      </c>
      <c r="C93" s="27"/>
      <c r="D93" s="27"/>
      <c r="E93" s="27"/>
      <c r="F93" s="27"/>
    </row>
    <row r="94" spans="2:6" ht="12" customHeight="1" x14ac:dyDescent="0.35"/>
    <row r="95" spans="2:6" ht="24" customHeight="1" x14ac:dyDescent="0.35">
      <c r="B95" s="28" t="str">
        <f>IF(ISERROR(MATCH(12, Data_Source!$A$2:$A$1000, 0)), "", "★ GIẢNG VIÊN #12: " &amp; IFERROR(VLOOKUP(12, Data_Source!$A$2:$BJ$1000, 3, FALSE) &amp; "", ""))</f>
        <v/>
      </c>
      <c r="C95" s="27"/>
      <c r="D95" s="27"/>
      <c r="E95" s="27"/>
      <c r="F95" s="27"/>
    </row>
    <row r="96" spans="2:6" ht="20" customHeight="1" x14ac:dyDescent="0.35">
      <c r="B96" s="11" t="str">
        <f>IF($B$95="","", "Bằng cấp:")</f>
        <v/>
      </c>
      <c r="C96" s="11" t="str">
        <f>IFERROR(VLOOKUP(12, Data_Source!$A$2:$BJ$1000, 4, FALSE) &amp; "", "")</f>
        <v/>
      </c>
      <c r="D96" s="11" t="str">
        <f>IF($B$95="","", "Học phần giảng dạy:")</f>
        <v/>
      </c>
      <c r="E96" s="28" t="str">
        <f>IFERROR(VLOOKUP(12, Data_Source!$A$2:$BJ$1000, 5, FALSE) &amp; "", "")</f>
        <v/>
      </c>
      <c r="F96" s="27"/>
    </row>
    <row r="97" spans="2:6" ht="24" customHeight="1" x14ac:dyDescent="0.35">
      <c r="B97" s="28" t="str">
        <f>IF($B$95="","", "Góp ý/đề xuất khác cho ngành đào tạo: " &amp; IFERROR(VLOOKUP(12, Data_Source!$A$2:$BJ$1000, 21, FALSE) &amp; "", "None"))</f>
        <v/>
      </c>
      <c r="C97" s="27"/>
      <c r="D97" s="27"/>
      <c r="E97" s="27"/>
      <c r="F97" s="27"/>
    </row>
    <row r="98" spans="2:6" ht="24" customHeight="1" x14ac:dyDescent="0.35">
      <c r="B98" s="28" t="str">
        <f>IF($B$95="","", "Học phần đề xuất loại bỏ: " &amp; IFERROR(VLOOKUP(12, Data_Source!$A$2:$BJ$1000, 27, FALSE) &amp; "", "None") &amp; "  |  Học phần đề xuất thêm: " &amp; IFERROR(VLOOKUP(12, Data_Source!$A$2:$BJ$1000, 28, FALSE) &amp; "", "None"))</f>
        <v/>
      </c>
      <c r="C98" s="27"/>
      <c r="D98" s="27"/>
      <c r="E98" s="27"/>
      <c r="F98" s="27"/>
    </row>
    <row r="99" spans="2:6" ht="40" customHeight="1" x14ac:dyDescent="0.35">
      <c r="B99" s="26" t="str">
        <f>IF($B$95="","", "Ý kiến khác: " &amp; IFERROR(VLOOKUP(12, Data_Source!$A$2:$BJ$1000, 62, FALSE) &amp; "", "None"))</f>
        <v/>
      </c>
      <c r="C99" s="27"/>
      <c r="D99" s="27"/>
      <c r="E99" s="27"/>
      <c r="F99" s="27"/>
    </row>
    <row r="100" spans="2:6" ht="12" customHeight="1" x14ac:dyDescent="0.35"/>
    <row r="101" spans="2:6" ht="24" customHeight="1" x14ac:dyDescent="0.35">
      <c r="B101" s="28" t="str">
        <f>IF(ISERROR(MATCH(13, Data_Source!$A$2:$A$1000, 0)), "", "★ GIẢNG VIÊN #13: " &amp; IFERROR(VLOOKUP(13, Data_Source!$A$2:$BJ$1000, 3, FALSE) &amp; "", ""))</f>
        <v/>
      </c>
      <c r="C101" s="27"/>
      <c r="D101" s="27"/>
      <c r="E101" s="27"/>
      <c r="F101" s="27"/>
    </row>
    <row r="102" spans="2:6" ht="20" customHeight="1" x14ac:dyDescent="0.35">
      <c r="B102" s="11" t="str">
        <f>IF($B$101="","", "Bằng cấp:")</f>
        <v/>
      </c>
      <c r="C102" s="11" t="str">
        <f>IFERROR(VLOOKUP(13, Data_Source!$A$2:$BJ$1000, 4, FALSE) &amp; "", "")</f>
        <v/>
      </c>
      <c r="D102" s="11" t="str">
        <f>IF($B$101="","", "Học phần giảng dạy:")</f>
        <v/>
      </c>
      <c r="E102" s="28" t="str">
        <f>IFERROR(VLOOKUP(13, Data_Source!$A$2:$BJ$1000, 5, FALSE) &amp; "", "")</f>
        <v/>
      </c>
      <c r="F102" s="27"/>
    </row>
    <row r="103" spans="2:6" ht="24" customHeight="1" x14ac:dyDescent="0.35">
      <c r="B103" s="28" t="str">
        <f>IF($B$101="","", "Góp ý/đề xuất khác cho ngành đào tạo: " &amp; IFERROR(VLOOKUP(13, Data_Source!$A$2:$BJ$1000, 21, FALSE) &amp; "", "None"))</f>
        <v/>
      </c>
      <c r="C103" s="27"/>
      <c r="D103" s="27"/>
      <c r="E103" s="27"/>
      <c r="F103" s="27"/>
    </row>
    <row r="104" spans="2:6" ht="24" customHeight="1" x14ac:dyDescent="0.35">
      <c r="B104" s="28" t="str">
        <f>IF($B$101="","", "Học phần đề xuất loại bỏ: " &amp; IFERROR(VLOOKUP(13, Data_Source!$A$2:$BJ$1000, 27, FALSE) &amp; "", "None") &amp; "  |  Học phần đề xuất thêm: " &amp; IFERROR(VLOOKUP(13, Data_Source!$A$2:$BJ$1000, 28, FALSE) &amp; "", "None"))</f>
        <v/>
      </c>
      <c r="C104" s="27"/>
      <c r="D104" s="27"/>
      <c r="E104" s="27"/>
      <c r="F104" s="27"/>
    </row>
    <row r="105" spans="2:6" ht="40" customHeight="1" x14ac:dyDescent="0.35">
      <c r="B105" s="26" t="str">
        <f>IF($B$101="","", "Ý kiến khác: " &amp; IFERROR(VLOOKUP(13, Data_Source!$A$2:$BJ$1000, 62, FALSE) &amp; "", "None"))</f>
        <v/>
      </c>
      <c r="C105" s="27"/>
      <c r="D105" s="27"/>
      <c r="E105" s="27"/>
      <c r="F105" s="27"/>
    </row>
    <row r="106" spans="2:6" ht="12" customHeight="1" x14ac:dyDescent="0.35"/>
    <row r="107" spans="2:6" ht="24" customHeight="1" x14ac:dyDescent="0.35">
      <c r="B107" s="28" t="str">
        <f>IF(ISERROR(MATCH(14, Data_Source!$A$2:$A$1000, 0)), "", "★ GIẢNG VIÊN #14: " &amp; IFERROR(VLOOKUP(14, Data_Source!$A$2:$BJ$1000, 3, FALSE) &amp; "", ""))</f>
        <v/>
      </c>
      <c r="C107" s="27"/>
      <c r="D107" s="27"/>
      <c r="E107" s="27"/>
      <c r="F107" s="27"/>
    </row>
    <row r="108" spans="2:6" ht="20" customHeight="1" x14ac:dyDescent="0.35">
      <c r="B108" s="11" t="str">
        <f>IF($B$107="","", "Bằng cấp:")</f>
        <v/>
      </c>
      <c r="C108" s="11" t="str">
        <f>IFERROR(VLOOKUP(14, Data_Source!$A$2:$BJ$1000, 4, FALSE) &amp; "", "")</f>
        <v/>
      </c>
      <c r="D108" s="11" t="str">
        <f>IF($B$107="","", "Học phần giảng dạy:")</f>
        <v/>
      </c>
      <c r="E108" s="28" t="str">
        <f>IFERROR(VLOOKUP(14, Data_Source!$A$2:$BJ$1000, 5, FALSE) &amp; "", "")</f>
        <v/>
      </c>
      <c r="F108" s="27"/>
    </row>
    <row r="109" spans="2:6" ht="24" customHeight="1" x14ac:dyDescent="0.35">
      <c r="B109" s="28" t="str">
        <f>IF($B$107="","", "Góp ý/đề xuất khác cho ngành đào tạo: " &amp; IFERROR(VLOOKUP(14, Data_Source!$A$2:$BJ$1000, 21, FALSE) &amp; "", "None"))</f>
        <v/>
      </c>
      <c r="C109" s="27"/>
      <c r="D109" s="27"/>
      <c r="E109" s="27"/>
      <c r="F109" s="27"/>
    </row>
    <row r="110" spans="2:6" ht="24" customHeight="1" x14ac:dyDescent="0.35">
      <c r="B110" s="28" t="str">
        <f>IF($B$107="","", "Học phần đề xuất loại bỏ: " &amp; IFERROR(VLOOKUP(14, Data_Source!$A$2:$BJ$1000, 27, FALSE) &amp; "", "None") &amp; "  |  Học phần đề xuất thêm: " &amp; IFERROR(VLOOKUP(14, Data_Source!$A$2:$BJ$1000, 28, FALSE) &amp; "", "None"))</f>
        <v/>
      </c>
      <c r="C110" s="27"/>
      <c r="D110" s="27"/>
      <c r="E110" s="27"/>
      <c r="F110" s="27"/>
    </row>
    <row r="111" spans="2:6" ht="40" customHeight="1" x14ac:dyDescent="0.35">
      <c r="B111" s="26" t="str">
        <f>IF($B$107="","", "Ý kiến khác: " &amp; IFERROR(VLOOKUP(14, Data_Source!$A$2:$BJ$1000, 62, FALSE) &amp; "", "None"))</f>
        <v/>
      </c>
      <c r="C111" s="27"/>
      <c r="D111" s="27"/>
      <c r="E111" s="27"/>
      <c r="F111" s="27"/>
    </row>
    <row r="112" spans="2:6" ht="12" customHeight="1" x14ac:dyDescent="0.35"/>
    <row r="113" spans="2:6" ht="24" customHeight="1" x14ac:dyDescent="0.35">
      <c r="B113" s="28" t="str">
        <f>IF(ISERROR(MATCH(15, Data_Source!$A$2:$A$1000, 0)), "", "★ GIẢNG VIÊN #15: " &amp; IFERROR(VLOOKUP(15, Data_Source!$A$2:$BJ$1000, 3, FALSE) &amp; "", ""))</f>
        <v/>
      </c>
      <c r="C113" s="27"/>
      <c r="D113" s="27"/>
      <c r="E113" s="27"/>
      <c r="F113" s="27"/>
    </row>
    <row r="114" spans="2:6" ht="20" customHeight="1" x14ac:dyDescent="0.35">
      <c r="B114" s="11" t="str">
        <f>IF($B$113="","", "Bằng cấp:")</f>
        <v/>
      </c>
      <c r="C114" s="11" t="str">
        <f>IFERROR(VLOOKUP(15, Data_Source!$A$2:$BJ$1000, 4, FALSE) &amp; "", "")</f>
        <v/>
      </c>
      <c r="D114" s="11" t="str">
        <f>IF($B$113="","", "Học phần giảng dạy:")</f>
        <v/>
      </c>
      <c r="E114" s="28" t="str">
        <f>IFERROR(VLOOKUP(15, Data_Source!$A$2:$BJ$1000, 5, FALSE) &amp; "", "")</f>
        <v/>
      </c>
      <c r="F114" s="27"/>
    </row>
    <row r="115" spans="2:6" ht="24" customHeight="1" x14ac:dyDescent="0.35">
      <c r="B115" s="28" t="str">
        <f>IF($B$113="","", "Góp ý/đề xuất khác cho ngành đào tạo: " &amp; IFERROR(VLOOKUP(15, Data_Source!$A$2:$BJ$1000, 21, FALSE) &amp; "", "None"))</f>
        <v/>
      </c>
      <c r="C115" s="27"/>
      <c r="D115" s="27"/>
      <c r="E115" s="27"/>
      <c r="F115" s="27"/>
    </row>
    <row r="116" spans="2:6" ht="24" customHeight="1" x14ac:dyDescent="0.35">
      <c r="B116" s="28" t="str">
        <f>IF($B$113="","", "Học phần đề xuất loại bỏ: " &amp; IFERROR(VLOOKUP(15, Data_Source!$A$2:$BJ$1000, 27, FALSE) &amp; "", "None") &amp; "  |  Học phần đề xuất thêm: " &amp; IFERROR(VLOOKUP(15, Data_Source!$A$2:$BJ$1000, 28, FALSE) &amp; "", "None"))</f>
        <v/>
      </c>
      <c r="C116" s="27"/>
      <c r="D116" s="27"/>
      <c r="E116" s="27"/>
      <c r="F116" s="27"/>
    </row>
    <row r="117" spans="2:6" ht="40" customHeight="1" x14ac:dyDescent="0.35">
      <c r="B117" s="26" t="str">
        <f>IF($B$113="","", "Ý kiến khác: " &amp; IFERROR(VLOOKUP(15, Data_Source!$A$2:$BJ$1000, 62, FALSE) &amp; "", "None"))</f>
        <v/>
      </c>
      <c r="C117" s="27"/>
      <c r="D117" s="27"/>
      <c r="E117" s="27"/>
      <c r="F117" s="27"/>
    </row>
    <row r="118" spans="2:6" ht="12" customHeight="1" x14ac:dyDescent="0.35"/>
    <row r="119" spans="2:6" ht="24" customHeight="1" x14ac:dyDescent="0.35">
      <c r="B119" s="28" t="str">
        <f>IF(ISERROR(MATCH(16, Data_Source!$A$2:$A$1000, 0)), "", "★ GIẢNG VIÊN #16: " &amp; IFERROR(VLOOKUP(16, Data_Source!$A$2:$BJ$1000, 3, FALSE) &amp; "", ""))</f>
        <v/>
      </c>
      <c r="C119" s="27"/>
      <c r="D119" s="27"/>
      <c r="E119" s="27"/>
      <c r="F119" s="27"/>
    </row>
    <row r="120" spans="2:6" ht="20" customHeight="1" x14ac:dyDescent="0.35">
      <c r="B120" s="11" t="str">
        <f>IF($B$119="","", "Bằng cấp:")</f>
        <v/>
      </c>
      <c r="C120" s="11" t="str">
        <f>IFERROR(VLOOKUP(16, Data_Source!$A$2:$BJ$1000, 4, FALSE) &amp; "", "")</f>
        <v/>
      </c>
      <c r="D120" s="11" t="str">
        <f>IF($B$119="","", "Học phần giảng dạy:")</f>
        <v/>
      </c>
      <c r="E120" s="28" t="str">
        <f>IFERROR(VLOOKUP(16, Data_Source!$A$2:$BJ$1000, 5, FALSE) &amp; "", "")</f>
        <v/>
      </c>
      <c r="F120" s="27"/>
    </row>
    <row r="121" spans="2:6" ht="24" customHeight="1" x14ac:dyDescent="0.35">
      <c r="B121" s="28" t="str">
        <f>IF($B$119="","", "Góp ý/đề xuất khác cho ngành đào tạo: " &amp; IFERROR(VLOOKUP(16, Data_Source!$A$2:$BJ$1000, 21, FALSE) &amp; "", "None"))</f>
        <v/>
      </c>
      <c r="C121" s="27"/>
      <c r="D121" s="27"/>
      <c r="E121" s="27"/>
      <c r="F121" s="27"/>
    </row>
    <row r="122" spans="2:6" ht="24" customHeight="1" x14ac:dyDescent="0.35">
      <c r="B122" s="28" t="str">
        <f>IF($B$119="","", "Học phần đề xuất loại bỏ: " &amp; IFERROR(VLOOKUP(16, Data_Source!$A$2:$BJ$1000, 27, FALSE) &amp; "", "None") &amp; "  |  Học phần đề xuất thêm: " &amp; IFERROR(VLOOKUP(16, Data_Source!$A$2:$BJ$1000, 28, FALSE) &amp; "", "None"))</f>
        <v/>
      </c>
      <c r="C122" s="27"/>
      <c r="D122" s="27"/>
      <c r="E122" s="27"/>
      <c r="F122" s="27"/>
    </row>
    <row r="123" spans="2:6" ht="40" customHeight="1" x14ac:dyDescent="0.35">
      <c r="B123" s="26" t="str">
        <f>IF($B$119="","", "Ý kiến khác: " &amp; IFERROR(VLOOKUP(16, Data_Source!$A$2:$BJ$1000, 62, FALSE) &amp; "", "None"))</f>
        <v/>
      </c>
      <c r="C123" s="27"/>
      <c r="D123" s="27"/>
      <c r="E123" s="27"/>
      <c r="F123" s="27"/>
    </row>
    <row r="124" spans="2:6" ht="12" customHeight="1" x14ac:dyDescent="0.35"/>
    <row r="125" spans="2:6" ht="24" customHeight="1" x14ac:dyDescent="0.35">
      <c r="B125" s="28" t="str">
        <f>IF(ISERROR(MATCH(17, Data_Source!$A$2:$A$1000, 0)), "", "★ GIẢNG VIÊN #17: " &amp; IFERROR(VLOOKUP(17, Data_Source!$A$2:$BJ$1000, 3, FALSE) &amp; "", ""))</f>
        <v/>
      </c>
      <c r="C125" s="27"/>
      <c r="D125" s="27"/>
      <c r="E125" s="27"/>
      <c r="F125" s="27"/>
    </row>
    <row r="126" spans="2:6" ht="20" customHeight="1" x14ac:dyDescent="0.35">
      <c r="B126" s="11" t="str">
        <f>IF($B$125="","", "Bằng cấp:")</f>
        <v/>
      </c>
      <c r="C126" s="11" t="str">
        <f>IFERROR(VLOOKUP(17, Data_Source!$A$2:$BJ$1000, 4, FALSE) &amp; "", "")</f>
        <v/>
      </c>
      <c r="D126" s="11" t="str">
        <f>IF($B$125="","", "Học phần giảng dạy:")</f>
        <v/>
      </c>
      <c r="E126" s="28" t="str">
        <f>IFERROR(VLOOKUP(17, Data_Source!$A$2:$BJ$1000, 5, FALSE) &amp; "", "")</f>
        <v/>
      </c>
      <c r="F126" s="27"/>
    </row>
    <row r="127" spans="2:6" ht="24" customHeight="1" x14ac:dyDescent="0.35">
      <c r="B127" s="28" t="str">
        <f>IF($B$125="","", "Góp ý/đề xuất khác cho ngành đào tạo: " &amp; IFERROR(VLOOKUP(17, Data_Source!$A$2:$BJ$1000, 21, FALSE) &amp; "", "None"))</f>
        <v/>
      </c>
      <c r="C127" s="27"/>
      <c r="D127" s="27"/>
      <c r="E127" s="27"/>
      <c r="F127" s="27"/>
    </row>
    <row r="128" spans="2:6" ht="24" customHeight="1" x14ac:dyDescent="0.35">
      <c r="B128" s="28" t="str">
        <f>IF($B$125="","", "Học phần đề xuất loại bỏ: " &amp; IFERROR(VLOOKUP(17, Data_Source!$A$2:$BJ$1000, 27, FALSE) &amp; "", "None") &amp; "  |  Học phần đề xuất thêm: " &amp; IFERROR(VLOOKUP(17, Data_Source!$A$2:$BJ$1000, 28, FALSE) &amp; "", "None"))</f>
        <v/>
      </c>
      <c r="C128" s="27"/>
      <c r="D128" s="27"/>
      <c r="E128" s="27"/>
      <c r="F128" s="27"/>
    </row>
    <row r="129" spans="2:6" ht="40" customHeight="1" x14ac:dyDescent="0.35">
      <c r="B129" s="26" t="str">
        <f>IF($B$125="","", "Ý kiến khác: " &amp; IFERROR(VLOOKUP(17, Data_Source!$A$2:$BJ$1000, 62, FALSE) &amp; "", "None"))</f>
        <v/>
      </c>
      <c r="C129" s="27"/>
      <c r="D129" s="27"/>
      <c r="E129" s="27"/>
      <c r="F129" s="27"/>
    </row>
    <row r="130" spans="2:6" ht="12" customHeight="1" x14ac:dyDescent="0.35"/>
    <row r="131" spans="2:6" ht="24" customHeight="1" x14ac:dyDescent="0.35">
      <c r="B131" s="28" t="str">
        <f>IF(ISERROR(MATCH(18, Data_Source!$A$2:$A$1000, 0)), "", "★ GIẢNG VIÊN #18: " &amp; IFERROR(VLOOKUP(18, Data_Source!$A$2:$BJ$1000, 3, FALSE) &amp; "", ""))</f>
        <v/>
      </c>
      <c r="C131" s="27"/>
      <c r="D131" s="27"/>
      <c r="E131" s="27"/>
      <c r="F131" s="27"/>
    </row>
    <row r="132" spans="2:6" ht="20" customHeight="1" x14ac:dyDescent="0.35">
      <c r="B132" s="11" t="str">
        <f>IF($B$131="","", "Bằng cấp:")</f>
        <v/>
      </c>
      <c r="C132" s="11" t="str">
        <f>IFERROR(VLOOKUP(18, Data_Source!$A$2:$BJ$1000, 4, FALSE) &amp; "", "")</f>
        <v/>
      </c>
      <c r="D132" s="11" t="str">
        <f>IF($B$131="","", "Học phần giảng dạy:")</f>
        <v/>
      </c>
      <c r="E132" s="28" t="str">
        <f>IFERROR(VLOOKUP(18, Data_Source!$A$2:$BJ$1000, 5, FALSE) &amp; "", "")</f>
        <v/>
      </c>
      <c r="F132" s="27"/>
    </row>
    <row r="133" spans="2:6" ht="24" customHeight="1" x14ac:dyDescent="0.35">
      <c r="B133" s="28" t="str">
        <f>IF($B$131="","", "Góp ý/đề xuất khác cho ngành đào tạo: " &amp; IFERROR(VLOOKUP(18, Data_Source!$A$2:$BJ$1000, 21, FALSE) &amp; "", "None"))</f>
        <v/>
      </c>
      <c r="C133" s="27"/>
      <c r="D133" s="27"/>
      <c r="E133" s="27"/>
      <c r="F133" s="27"/>
    </row>
    <row r="134" spans="2:6" ht="24" customHeight="1" x14ac:dyDescent="0.35">
      <c r="B134" s="28" t="str">
        <f>IF($B$131="","", "Học phần đề xuất loại bỏ: " &amp; IFERROR(VLOOKUP(18, Data_Source!$A$2:$BJ$1000, 27, FALSE) &amp; "", "None") &amp; "  |  Học phần đề xuất thêm: " &amp; IFERROR(VLOOKUP(18, Data_Source!$A$2:$BJ$1000, 28, FALSE) &amp; "", "None"))</f>
        <v/>
      </c>
      <c r="C134" s="27"/>
      <c r="D134" s="27"/>
      <c r="E134" s="27"/>
      <c r="F134" s="27"/>
    </row>
    <row r="135" spans="2:6" ht="40" customHeight="1" x14ac:dyDescent="0.35">
      <c r="B135" s="26" t="str">
        <f>IF($B$131="","", "Ý kiến khác: " &amp; IFERROR(VLOOKUP(18, Data_Source!$A$2:$BJ$1000, 62, FALSE) &amp; "", "None"))</f>
        <v/>
      </c>
      <c r="C135" s="27"/>
      <c r="D135" s="27"/>
      <c r="E135" s="27"/>
      <c r="F135" s="27"/>
    </row>
    <row r="136" spans="2:6" ht="12" customHeight="1" x14ac:dyDescent="0.35"/>
    <row r="137" spans="2:6" ht="24" customHeight="1" x14ac:dyDescent="0.35">
      <c r="B137" s="28" t="str">
        <f>IF(ISERROR(MATCH(19, Data_Source!$A$2:$A$1000, 0)), "", "★ GIẢNG VIÊN #19: " &amp; IFERROR(VLOOKUP(19, Data_Source!$A$2:$BJ$1000, 3, FALSE) &amp; "", ""))</f>
        <v/>
      </c>
      <c r="C137" s="27"/>
      <c r="D137" s="27"/>
      <c r="E137" s="27"/>
      <c r="F137" s="27"/>
    </row>
    <row r="138" spans="2:6" ht="20" customHeight="1" x14ac:dyDescent="0.35">
      <c r="B138" s="11" t="str">
        <f>IF($B$137="","", "Bằng cấp:")</f>
        <v/>
      </c>
      <c r="C138" s="11" t="str">
        <f>IFERROR(VLOOKUP(19, Data_Source!$A$2:$BJ$1000, 4, FALSE) &amp; "", "")</f>
        <v/>
      </c>
      <c r="D138" s="11" t="str">
        <f>IF($B$137="","", "Học phần giảng dạy:")</f>
        <v/>
      </c>
      <c r="E138" s="28" t="str">
        <f>IFERROR(VLOOKUP(19, Data_Source!$A$2:$BJ$1000, 5, FALSE) &amp; "", "")</f>
        <v/>
      </c>
      <c r="F138" s="27"/>
    </row>
    <row r="139" spans="2:6" ht="24" customHeight="1" x14ac:dyDescent="0.35">
      <c r="B139" s="28" t="str">
        <f>IF($B$137="","", "Góp ý/đề xuất khác cho ngành đào tạo: " &amp; IFERROR(VLOOKUP(19, Data_Source!$A$2:$BJ$1000, 21, FALSE) &amp; "", "None"))</f>
        <v/>
      </c>
      <c r="C139" s="27"/>
      <c r="D139" s="27"/>
      <c r="E139" s="27"/>
      <c r="F139" s="27"/>
    </row>
    <row r="140" spans="2:6" ht="24" customHeight="1" x14ac:dyDescent="0.35">
      <c r="B140" s="28" t="str">
        <f>IF($B$137="","", "Học phần đề xuất loại bỏ: " &amp; IFERROR(VLOOKUP(19, Data_Source!$A$2:$BJ$1000, 27, FALSE) &amp; "", "None") &amp; "  |  Học phần đề xuất thêm: " &amp; IFERROR(VLOOKUP(19, Data_Source!$A$2:$BJ$1000, 28, FALSE) &amp; "", "None"))</f>
        <v/>
      </c>
      <c r="C140" s="27"/>
      <c r="D140" s="27"/>
      <c r="E140" s="27"/>
      <c r="F140" s="27"/>
    </row>
    <row r="141" spans="2:6" ht="40" customHeight="1" x14ac:dyDescent="0.35">
      <c r="B141" s="26" t="str">
        <f>IF($B$137="","", "Ý kiến khác: " &amp; IFERROR(VLOOKUP(19, Data_Source!$A$2:$BJ$1000, 62, FALSE) &amp; "", "None"))</f>
        <v/>
      </c>
      <c r="C141" s="27"/>
      <c r="D141" s="27"/>
      <c r="E141" s="27"/>
      <c r="F141" s="27"/>
    </row>
    <row r="142" spans="2:6" ht="12" customHeight="1" x14ac:dyDescent="0.35"/>
    <row r="143" spans="2:6" ht="24" customHeight="1" x14ac:dyDescent="0.35">
      <c r="B143" s="28" t="str">
        <f>IF(ISERROR(MATCH(20, Data_Source!$A$2:$A$1000, 0)), "", "★ GIẢNG VIÊN #20: " &amp; IFERROR(VLOOKUP(20, Data_Source!$A$2:$BJ$1000, 3, FALSE) &amp; "", ""))</f>
        <v/>
      </c>
      <c r="C143" s="27"/>
      <c r="D143" s="27"/>
      <c r="E143" s="27"/>
      <c r="F143" s="27"/>
    </row>
    <row r="144" spans="2:6" ht="20" customHeight="1" x14ac:dyDescent="0.35">
      <c r="B144" s="11" t="str">
        <f>IF($B$143="","", "Bằng cấp:")</f>
        <v/>
      </c>
      <c r="C144" s="11" t="str">
        <f>IFERROR(VLOOKUP(20, Data_Source!$A$2:$BJ$1000, 4, FALSE) &amp; "", "")</f>
        <v/>
      </c>
      <c r="D144" s="11" t="str">
        <f>IF($B$143="","", "Học phần giảng dạy:")</f>
        <v/>
      </c>
      <c r="E144" s="28" t="str">
        <f>IFERROR(VLOOKUP(20, Data_Source!$A$2:$BJ$1000, 5, FALSE) &amp; "", "")</f>
        <v/>
      </c>
      <c r="F144" s="27"/>
    </row>
    <row r="145" spans="2:6" ht="24" customHeight="1" x14ac:dyDescent="0.35">
      <c r="B145" s="28" t="str">
        <f>IF($B$143="","", "Góp ý/đề xuất khác cho ngành đào tạo: " &amp; IFERROR(VLOOKUP(20, Data_Source!$A$2:$BJ$1000, 21, FALSE) &amp; "", "None"))</f>
        <v/>
      </c>
      <c r="C145" s="27"/>
      <c r="D145" s="27"/>
      <c r="E145" s="27"/>
      <c r="F145" s="27"/>
    </row>
    <row r="146" spans="2:6" ht="24" customHeight="1" x14ac:dyDescent="0.35">
      <c r="B146" s="28" t="str">
        <f>IF($B$143="","", "Học phần đề xuất loại bỏ: " &amp; IFERROR(VLOOKUP(20, Data_Source!$A$2:$BJ$1000, 27, FALSE) &amp; "", "None") &amp; "  |  Học phần đề xuất thêm: " &amp; IFERROR(VLOOKUP(20, Data_Source!$A$2:$BJ$1000, 28, FALSE) &amp; "", "None"))</f>
        <v/>
      </c>
      <c r="C146" s="27"/>
      <c r="D146" s="27"/>
      <c r="E146" s="27"/>
      <c r="F146" s="27"/>
    </row>
    <row r="147" spans="2:6" ht="40" customHeight="1" x14ac:dyDescent="0.35">
      <c r="B147" s="26" t="str">
        <f>IF($B$143="","", "Ý kiến khác: " &amp; IFERROR(VLOOKUP(20, Data_Source!$A$2:$BJ$1000, 62, FALSE) &amp; "", "None"))</f>
        <v/>
      </c>
      <c r="C147" s="27"/>
      <c r="D147" s="27"/>
      <c r="E147" s="27"/>
      <c r="F147" s="27"/>
    </row>
    <row r="148" spans="2:6" ht="12" customHeight="1" x14ac:dyDescent="0.35"/>
  </sheetData>
  <mergeCells count="104">
    <mergeCell ref="B38:F38"/>
    <mergeCell ref="B103:F103"/>
    <mergeCell ref="B127:F127"/>
    <mergeCell ref="B49:F49"/>
    <mergeCell ref="D8:E8"/>
    <mergeCell ref="B55:F55"/>
    <mergeCell ref="B95:F95"/>
    <mergeCell ref="B33:F33"/>
    <mergeCell ref="B89:F89"/>
    <mergeCell ref="B104:F104"/>
    <mergeCell ref="B51:F51"/>
    <mergeCell ref="B79:F79"/>
    <mergeCell ref="B32:F32"/>
    <mergeCell ref="B41:F41"/>
    <mergeCell ref="B97:F97"/>
    <mergeCell ref="B35:F35"/>
    <mergeCell ref="B147:F147"/>
    <mergeCell ref="B128:F128"/>
    <mergeCell ref="B137:F137"/>
    <mergeCell ref="E144:F144"/>
    <mergeCell ref="B65:F65"/>
    <mergeCell ref="E54:F54"/>
    <mergeCell ref="B139:F139"/>
    <mergeCell ref="E72:F72"/>
    <mergeCell ref="B63:F63"/>
    <mergeCell ref="B123:F123"/>
    <mergeCell ref="E96:F96"/>
    <mergeCell ref="B110:F110"/>
    <mergeCell ref="B113:F113"/>
    <mergeCell ref="B91:F91"/>
    <mergeCell ref="B140:F140"/>
    <mergeCell ref="B115:F115"/>
    <mergeCell ref="B93:F93"/>
    <mergeCell ref="E126:F126"/>
    <mergeCell ref="B77:F77"/>
    <mergeCell ref="B86:F86"/>
    <mergeCell ref="B117:F117"/>
    <mergeCell ref="E138:F138"/>
    <mergeCell ref="B67:F67"/>
    <mergeCell ref="B61:F61"/>
    <mergeCell ref="B146:F146"/>
    <mergeCell ref="B99:F99"/>
    <mergeCell ref="B74:F74"/>
    <mergeCell ref="B68:F68"/>
    <mergeCell ref="B83:F83"/>
    <mergeCell ref="E120:F120"/>
    <mergeCell ref="B45:F45"/>
    <mergeCell ref="E66:F66"/>
    <mergeCell ref="B85:F85"/>
    <mergeCell ref="B75:F75"/>
    <mergeCell ref="B109:F109"/>
    <mergeCell ref="B47:F47"/>
    <mergeCell ref="B62:F62"/>
    <mergeCell ref="B141:F141"/>
    <mergeCell ref="B59:F59"/>
    <mergeCell ref="E132:F132"/>
    <mergeCell ref="B145:F145"/>
    <mergeCell ref="E84:F84"/>
    <mergeCell ref="E78:F78"/>
    <mergeCell ref="E114:F114"/>
    <mergeCell ref="B73:F73"/>
    <mergeCell ref="B87:F87"/>
    <mergeCell ref="E108:F108"/>
    <mergeCell ref="B50:F50"/>
    <mergeCell ref="B143:F143"/>
    <mergeCell ref="B92:F92"/>
    <mergeCell ref="B133:F133"/>
    <mergeCell ref="B80:F80"/>
    <mergeCell ref="E102:F102"/>
    <mergeCell ref="B135:F135"/>
    <mergeCell ref="B125:F125"/>
    <mergeCell ref="B134:F134"/>
    <mergeCell ref="B121:F121"/>
    <mergeCell ref="B105:F105"/>
    <mergeCell ref="B111:F111"/>
    <mergeCell ref="B98:F98"/>
    <mergeCell ref="B107:F107"/>
    <mergeCell ref="E90:F90"/>
    <mergeCell ref="B101:F101"/>
    <mergeCell ref="B119:F119"/>
    <mergeCell ref="B129:F129"/>
    <mergeCell ref="B81:F81"/>
    <mergeCell ref="B122:F122"/>
    <mergeCell ref="B71:F71"/>
    <mergeCell ref="B131:F131"/>
    <mergeCell ref="B44:F44"/>
    <mergeCell ref="B53:F53"/>
    <mergeCell ref="D7:E7"/>
    <mergeCell ref="B116:F116"/>
    <mergeCell ref="B37:F37"/>
    <mergeCell ref="E36:F36"/>
    <mergeCell ref="E48:F48"/>
    <mergeCell ref="B56:F56"/>
    <mergeCell ref="B43:F43"/>
    <mergeCell ref="B57:F57"/>
    <mergeCell ref="B7:C7"/>
    <mergeCell ref="B31:F31"/>
    <mergeCell ref="B39:F39"/>
    <mergeCell ref="E42:F42"/>
    <mergeCell ref="E60:F60"/>
    <mergeCell ref="B8:C8"/>
    <mergeCell ref="B29:F29"/>
    <mergeCell ref="E30:F30"/>
    <mergeCell ref="B69:F69"/>
  </mergeCells>
  <conditionalFormatting sqref="B30">
    <cfRule type="expression" dxfId="119" priority="2">
      <formula>$B$29&lt;&gt;""</formula>
    </cfRule>
  </conditionalFormatting>
  <conditionalFormatting sqref="B36">
    <cfRule type="expression" dxfId="118" priority="10">
      <formula>$B$35&lt;&gt;""</formula>
    </cfRule>
  </conditionalFormatting>
  <conditionalFormatting sqref="B42">
    <cfRule type="expression" dxfId="117" priority="18">
      <formula>$B$41&lt;&gt;""</formula>
    </cfRule>
  </conditionalFormatting>
  <conditionalFormatting sqref="B48">
    <cfRule type="expression" dxfId="116" priority="26">
      <formula>$B$47&lt;&gt;""</formula>
    </cfRule>
  </conditionalFormatting>
  <conditionalFormatting sqref="B54">
    <cfRule type="expression" dxfId="115" priority="34">
      <formula>$B$53&lt;&gt;""</formula>
    </cfRule>
  </conditionalFormatting>
  <conditionalFormatting sqref="B60">
    <cfRule type="expression" dxfId="114" priority="42">
      <formula>$B$59&lt;&gt;""</formula>
    </cfRule>
  </conditionalFormatting>
  <conditionalFormatting sqref="B66">
    <cfRule type="expression" dxfId="113" priority="50">
      <formula>$B$65&lt;&gt;""</formula>
    </cfRule>
  </conditionalFormatting>
  <conditionalFormatting sqref="B72">
    <cfRule type="expression" dxfId="112" priority="58">
      <formula>$B$71&lt;&gt;""</formula>
    </cfRule>
  </conditionalFormatting>
  <conditionalFormatting sqref="B78">
    <cfRule type="expression" dxfId="111" priority="66">
      <formula>$B$77&lt;&gt;""</formula>
    </cfRule>
  </conditionalFormatting>
  <conditionalFormatting sqref="B84">
    <cfRule type="expression" dxfId="110" priority="74">
      <formula>$B$83&lt;&gt;""</formula>
    </cfRule>
  </conditionalFormatting>
  <conditionalFormatting sqref="B90">
    <cfRule type="expression" dxfId="109" priority="82">
      <formula>$B$89&lt;&gt;""</formula>
    </cfRule>
  </conditionalFormatting>
  <conditionalFormatting sqref="B96">
    <cfRule type="expression" dxfId="108" priority="90">
      <formula>$B$95&lt;&gt;""</formula>
    </cfRule>
  </conditionalFormatting>
  <conditionalFormatting sqref="B102">
    <cfRule type="expression" dxfId="107" priority="98">
      <formula>$B$101&lt;&gt;""</formula>
    </cfRule>
  </conditionalFormatting>
  <conditionalFormatting sqref="B108">
    <cfRule type="expression" dxfId="106" priority="106">
      <formula>$B$107&lt;&gt;""</formula>
    </cfRule>
  </conditionalFormatting>
  <conditionalFormatting sqref="B114">
    <cfRule type="expression" dxfId="105" priority="114">
      <formula>$B$113&lt;&gt;""</formula>
    </cfRule>
  </conditionalFormatting>
  <conditionalFormatting sqref="B120">
    <cfRule type="expression" dxfId="104" priority="122">
      <formula>$B$119&lt;&gt;""</formula>
    </cfRule>
  </conditionalFormatting>
  <conditionalFormatting sqref="B126">
    <cfRule type="expression" dxfId="103" priority="130">
      <formula>$B$125&lt;&gt;""</formula>
    </cfRule>
  </conditionalFormatting>
  <conditionalFormatting sqref="B132">
    <cfRule type="expression" dxfId="102" priority="138">
      <formula>$B$131&lt;&gt;""</formula>
    </cfRule>
  </conditionalFormatting>
  <conditionalFormatting sqref="B138">
    <cfRule type="expression" dxfId="101" priority="146">
      <formula>$B$137&lt;&gt;""</formula>
    </cfRule>
  </conditionalFormatting>
  <conditionalFormatting sqref="B144">
    <cfRule type="expression" dxfId="100" priority="154">
      <formula>$B$143&lt;&gt;""</formula>
    </cfRule>
  </conditionalFormatting>
  <conditionalFormatting sqref="B29:F29">
    <cfRule type="expression" dxfId="99" priority="1">
      <formula>$B$29&lt;&gt;""</formula>
    </cfRule>
  </conditionalFormatting>
  <conditionalFormatting sqref="B31:F33">
    <cfRule type="expression" dxfId="98" priority="6">
      <formula>$B$29&lt;&gt;""</formula>
    </cfRule>
  </conditionalFormatting>
  <conditionalFormatting sqref="B35:F35">
    <cfRule type="expression" dxfId="97" priority="9">
      <formula>$B$35&lt;&gt;""</formula>
    </cfRule>
  </conditionalFormatting>
  <conditionalFormatting sqref="B37:F39">
    <cfRule type="expression" dxfId="96" priority="14">
      <formula>$B$35&lt;&gt;""</formula>
    </cfRule>
  </conditionalFormatting>
  <conditionalFormatting sqref="B41:F41">
    <cfRule type="expression" dxfId="95" priority="17">
      <formula>$B$41&lt;&gt;""</formula>
    </cfRule>
  </conditionalFormatting>
  <conditionalFormatting sqref="B43:F45">
    <cfRule type="expression" dxfId="94" priority="22">
      <formula>$B$41&lt;&gt;""</formula>
    </cfRule>
  </conditionalFormatting>
  <conditionalFormatting sqref="B47:F47">
    <cfRule type="expression" dxfId="93" priority="25">
      <formula>$B$47&lt;&gt;""</formula>
    </cfRule>
  </conditionalFormatting>
  <conditionalFormatting sqref="B49:F51">
    <cfRule type="expression" dxfId="92" priority="30">
      <formula>$B$47&lt;&gt;""</formula>
    </cfRule>
  </conditionalFormatting>
  <conditionalFormatting sqref="B53:F53">
    <cfRule type="expression" dxfId="91" priority="33">
      <formula>$B$53&lt;&gt;""</formula>
    </cfRule>
  </conditionalFormatting>
  <conditionalFormatting sqref="B55:F57">
    <cfRule type="expression" dxfId="90" priority="38">
      <formula>$B$53&lt;&gt;""</formula>
    </cfRule>
  </conditionalFormatting>
  <conditionalFormatting sqref="B59:F59">
    <cfRule type="expression" dxfId="89" priority="41">
      <formula>$B$59&lt;&gt;""</formula>
    </cfRule>
  </conditionalFormatting>
  <conditionalFormatting sqref="B61:F63">
    <cfRule type="expression" dxfId="88" priority="46">
      <formula>$B$59&lt;&gt;""</formula>
    </cfRule>
  </conditionalFormatting>
  <conditionalFormatting sqref="B65:F65">
    <cfRule type="expression" dxfId="87" priority="49">
      <formula>$B$65&lt;&gt;""</formula>
    </cfRule>
  </conditionalFormatting>
  <conditionalFormatting sqref="B67:F69">
    <cfRule type="expression" dxfId="86" priority="54">
      <formula>$B$65&lt;&gt;""</formula>
    </cfRule>
  </conditionalFormatting>
  <conditionalFormatting sqref="B71:F71">
    <cfRule type="expression" dxfId="85" priority="57">
      <formula>$B$71&lt;&gt;""</formula>
    </cfRule>
  </conditionalFormatting>
  <conditionalFormatting sqref="B73:F75">
    <cfRule type="expression" dxfId="84" priority="62">
      <formula>$B$71&lt;&gt;""</formula>
    </cfRule>
  </conditionalFormatting>
  <conditionalFormatting sqref="B77:F77">
    <cfRule type="expression" dxfId="83" priority="65">
      <formula>$B$77&lt;&gt;""</formula>
    </cfRule>
  </conditionalFormatting>
  <conditionalFormatting sqref="B79:F81">
    <cfRule type="expression" dxfId="82" priority="70">
      <formula>$B$77&lt;&gt;""</formula>
    </cfRule>
  </conditionalFormatting>
  <conditionalFormatting sqref="B83:F83">
    <cfRule type="expression" dxfId="81" priority="73">
      <formula>$B$83&lt;&gt;""</formula>
    </cfRule>
  </conditionalFormatting>
  <conditionalFormatting sqref="B85:F87">
    <cfRule type="expression" dxfId="80" priority="78">
      <formula>$B$83&lt;&gt;""</formula>
    </cfRule>
  </conditionalFormatting>
  <conditionalFormatting sqref="B89:F89">
    <cfRule type="expression" dxfId="79" priority="81">
      <formula>$B$89&lt;&gt;""</formula>
    </cfRule>
  </conditionalFormatting>
  <conditionalFormatting sqref="B91:F93">
    <cfRule type="expression" dxfId="78" priority="86">
      <formula>$B$89&lt;&gt;""</formula>
    </cfRule>
  </conditionalFormatting>
  <conditionalFormatting sqref="B95:F95">
    <cfRule type="expression" dxfId="77" priority="89">
      <formula>$B$95&lt;&gt;""</formula>
    </cfRule>
  </conditionalFormatting>
  <conditionalFormatting sqref="B97:F99">
    <cfRule type="expression" dxfId="76" priority="94">
      <formula>$B$95&lt;&gt;""</formula>
    </cfRule>
  </conditionalFormatting>
  <conditionalFormatting sqref="B101:F101">
    <cfRule type="expression" dxfId="75" priority="97">
      <formula>$B$101&lt;&gt;""</formula>
    </cfRule>
  </conditionalFormatting>
  <conditionalFormatting sqref="B103:F105">
    <cfRule type="expression" dxfId="74" priority="102">
      <formula>$B$101&lt;&gt;""</formula>
    </cfRule>
  </conditionalFormatting>
  <conditionalFormatting sqref="B107:F107">
    <cfRule type="expression" dxfId="73" priority="105">
      <formula>$B$107&lt;&gt;""</formula>
    </cfRule>
  </conditionalFormatting>
  <conditionalFormatting sqref="B109:F111">
    <cfRule type="expression" dxfId="72" priority="110">
      <formula>$B$107&lt;&gt;""</formula>
    </cfRule>
  </conditionalFormatting>
  <conditionalFormatting sqref="B113:F113">
    <cfRule type="expression" dxfId="71" priority="113">
      <formula>$B$113&lt;&gt;""</formula>
    </cfRule>
  </conditionalFormatting>
  <conditionalFormatting sqref="B115:F117">
    <cfRule type="expression" dxfId="70" priority="118">
      <formula>$B$113&lt;&gt;""</formula>
    </cfRule>
  </conditionalFormatting>
  <conditionalFormatting sqref="B119:F119">
    <cfRule type="expression" dxfId="69" priority="121">
      <formula>$B$119&lt;&gt;""</formula>
    </cfRule>
  </conditionalFormatting>
  <conditionalFormatting sqref="B121:F123">
    <cfRule type="expression" dxfId="68" priority="126">
      <formula>$B$119&lt;&gt;""</formula>
    </cfRule>
  </conditionalFormatting>
  <conditionalFormatting sqref="B125:F125">
    <cfRule type="expression" dxfId="67" priority="129">
      <formula>$B$125&lt;&gt;""</formula>
    </cfRule>
  </conditionalFormatting>
  <conditionalFormatting sqref="B127:F129">
    <cfRule type="expression" dxfId="66" priority="134">
      <formula>$B$125&lt;&gt;""</formula>
    </cfRule>
  </conditionalFormatting>
  <conditionalFormatting sqref="B131:F131">
    <cfRule type="expression" dxfId="65" priority="137">
      <formula>$B$131&lt;&gt;""</formula>
    </cfRule>
  </conditionalFormatting>
  <conditionalFormatting sqref="B133:F135">
    <cfRule type="expression" dxfId="64" priority="142">
      <formula>$B$131&lt;&gt;""</formula>
    </cfRule>
  </conditionalFormatting>
  <conditionalFormatting sqref="B137:F137">
    <cfRule type="expression" dxfId="63" priority="145">
      <formula>$B$137&lt;&gt;""</formula>
    </cfRule>
  </conditionalFormatting>
  <conditionalFormatting sqref="B139:F141">
    <cfRule type="expression" dxfId="62" priority="150">
      <formula>$B$137&lt;&gt;""</formula>
    </cfRule>
  </conditionalFormatting>
  <conditionalFormatting sqref="B143:F143">
    <cfRule type="expression" dxfId="61" priority="153">
      <formula>$B$143&lt;&gt;""</formula>
    </cfRule>
  </conditionalFormatting>
  <conditionalFormatting sqref="B145:F147">
    <cfRule type="expression" dxfId="60" priority="158">
      <formula>$B$143&lt;&gt;""</formula>
    </cfRule>
  </conditionalFormatting>
  <conditionalFormatting sqref="C30">
    <cfRule type="expression" dxfId="59" priority="4">
      <formula>$B$29&lt;&gt;""</formula>
    </cfRule>
  </conditionalFormatting>
  <conditionalFormatting sqref="C36">
    <cfRule type="expression" dxfId="58" priority="12">
      <formula>$B$35&lt;&gt;""</formula>
    </cfRule>
  </conditionalFormatting>
  <conditionalFormatting sqref="C42">
    <cfRule type="expression" dxfId="57" priority="20">
      <formula>$B$41&lt;&gt;""</formula>
    </cfRule>
  </conditionalFormatting>
  <conditionalFormatting sqref="C48">
    <cfRule type="expression" dxfId="56" priority="28">
      <formula>$B$47&lt;&gt;""</formula>
    </cfRule>
  </conditionalFormatting>
  <conditionalFormatting sqref="C54">
    <cfRule type="expression" dxfId="55" priority="36">
      <formula>$B$53&lt;&gt;""</formula>
    </cfRule>
  </conditionalFormatting>
  <conditionalFormatting sqref="C60">
    <cfRule type="expression" dxfId="54" priority="44">
      <formula>$B$59&lt;&gt;""</formula>
    </cfRule>
  </conditionalFormatting>
  <conditionalFormatting sqref="C66">
    <cfRule type="expression" dxfId="53" priority="52">
      <formula>$B$65&lt;&gt;""</formula>
    </cfRule>
  </conditionalFormatting>
  <conditionalFormatting sqref="C72">
    <cfRule type="expression" dxfId="52" priority="60">
      <formula>$B$71&lt;&gt;""</formula>
    </cfRule>
  </conditionalFormatting>
  <conditionalFormatting sqref="C78">
    <cfRule type="expression" dxfId="51" priority="68">
      <formula>$B$77&lt;&gt;""</formula>
    </cfRule>
  </conditionalFormatting>
  <conditionalFormatting sqref="C84">
    <cfRule type="expression" dxfId="50" priority="76">
      <formula>$B$83&lt;&gt;""</formula>
    </cfRule>
  </conditionalFormatting>
  <conditionalFormatting sqref="C90">
    <cfRule type="expression" dxfId="49" priority="84">
      <formula>$B$89&lt;&gt;""</formula>
    </cfRule>
  </conditionalFormatting>
  <conditionalFormatting sqref="C96">
    <cfRule type="expression" dxfId="48" priority="92">
      <formula>$B$95&lt;&gt;""</formula>
    </cfRule>
  </conditionalFormatting>
  <conditionalFormatting sqref="C102">
    <cfRule type="expression" dxfId="47" priority="100">
      <formula>$B$101&lt;&gt;""</formula>
    </cfRule>
  </conditionalFormatting>
  <conditionalFormatting sqref="C108">
    <cfRule type="expression" dxfId="46" priority="108">
      <formula>$B$107&lt;&gt;""</formula>
    </cfRule>
  </conditionalFormatting>
  <conditionalFormatting sqref="C114">
    <cfRule type="expression" dxfId="45" priority="116">
      <formula>$B$113&lt;&gt;""</formula>
    </cfRule>
  </conditionalFormatting>
  <conditionalFormatting sqref="C120">
    <cfRule type="expression" dxfId="44" priority="124">
      <formula>$B$119&lt;&gt;""</formula>
    </cfRule>
  </conditionalFormatting>
  <conditionalFormatting sqref="C126">
    <cfRule type="expression" dxfId="43" priority="132">
      <formula>$B$125&lt;&gt;""</formula>
    </cfRule>
  </conditionalFormatting>
  <conditionalFormatting sqref="C132">
    <cfRule type="expression" dxfId="42" priority="140">
      <formula>$B$131&lt;&gt;""</formula>
    </cfRule>
  </conditionalFormatting>
  <conditionalFormatting sqref="C138">
    <cfRule type="expression" dxfId="41" priority="148">
      <formula>$B$137&lt;&gt;""</formula>
    </cfRule>
  </conditionalFormatting>
  <conditionalFormatting sqref="C144">
    <cfRule type="expression" dxfId="40" priority="156">
      <formula>$B$143&lt;&gt;""</formula>
    </cfRule>
  </conditionalFormatting>
  <conditionalFormatting sqref="D30">
    <cfRule type="expression" dxfId="39" priority="3">
      <formula>$B$29&lt;&gt;""</formula>
    </cfRule>
  </conditionalFormatting>
  <conditionalFormatting sqref="D36">
    <cfRule type="expression" dxfId="38" priority="11">
      <formula>$B$35&lt;&gt;""</formula>
    </cfRule>
  </conditionalFormatting>
  <conditionalFormatting sqref="D42">
    <cfRule type="expression" dxfId="37" priority="19">
      <formula>$B$41&lt;&gt;""</formula>
    </cfRule>
  </conditionalFormatting>
  <conditionalFormatting sqref="D48">
    <cfRule type="expression" dxfId="36" priority="27">
      <formula>$B$47&lt;&gt;""</formula>
    </cfRule>
  </conditionalFormatting>
  <conditionalFormatting sqref="D54">
    <cfRule type="expression" dxfId="35" priority="35">
      <formula>$B$53&lt;&gt;""</formula>
    </cfRule>
  </conditionalFormatting>
  <conditionalFormatting sqref="D60">
    <cfRule type="expression" dxfId="34" priority="43">
      <formula>$B$59&lt;&gt;""</formula>
    </cfRule>
  </conditionalFormatting>
  <conditionalFormatting sqref="D66">
    <cfRule type="expression" dxfId="33" priority="51">
      <formula>$B$65&lt;&gt;""</formula>
    </cfRule>
  </conditionalFormatting>
  <conditionalFormatting sqref="D72">
    <cfRule type="expression" dxfId="32" priority="59">
      <formula>$B$71&lt;&gt;""</formula>
    </cfRule>
  </conditionalFormatting>
  <conditionalFormatting sqref="D78">
    <cfRule type="expression" dxfId="31" priority="67">
      <formula>$B$77&lt;&gt;""</formula>
    </cfRule>
  </conditionalFormatting>
  <conditionalFormatting sqref="D84">
    <cfRule type="expression" dxfId="30" priority="75">
      <formula>$B$83&lt;&gt;""</formula>
    </cfRule>
  </conditionalFormatting>
  <conditionalFormatting sqref="D90">
    <cfRule type="expression" dxfId="29" priority="83">
      <formula>$B$89&lt;&gt;""</formula>
    </cfRule>
  </conditionalFormatting>
  <conditionalFormatting sqref="D96">
    <cfRule type="expression" dxfId="28" priority="91">
      <formula>$B$95&lt;&gt;""</formula>
    </cfRule>
  </conditionalFormatting>
  <conditionalFormatting sqref="D102">
    <cfRule type="expression" dxfId="27" priority="99">
      <formula>$B$101&lt;&gt;""</formula>
    </cfRule>
  </conditionalFormatting>
  <conditionalFormatting sqref="D108">
    <cfRule type="expression" dxfId="26" priority="107">
      <formula>$B$107&lt;&gt;""</formula>
    </cfRule>
  </conditionalFormatting>
  <conditionalFormatting sqref="D114">
    <cfRule type="expression" dxfId="25" priority="115">
      <formula>$B$113&lt;&gt;""</formula>
    </cfRule>
  </conditionalFormatting>
  <conditionalFormatting sqref="D120">
    <cfRule type="expression" dxfId="24" priority="123">
      <formula>$B$119&lt;&gt;""</formula>
    </cfRule>
  </conditionalFormatting>
  <conditionalFormatting sqref="D126">
    <cfRule type="expression" dxfId="23" priority="131">
      <formula>$B$125&lt;&gt;""</formula>
    </cfRule>
  </conditionalFormatting>
  <conditionalFormatting sqref="D132">
    <cfRule type="expression" dxfId="22" priority="139">
      <formula>$B$131&lt;&gt;""</formula>
    </cfRule>
  </conditionalFormatting>
  <conditionalFormatting sqref="D138">
    <cfRule type="expression" dxfId="21" priority="147">
      <formula>$B$137&lt;&gt;""</formula>
    </cfRule>
  </conditionalFormatting>
  <conditionalFormatting sqref="D144">
    <cfRule type="expression" dxfId="20" priority="155">
      <formula>$B$143&lt;&gt;""</formula>
    </cfRule>
  </conditionalFormatting>
  <conditionalFormatting sqref="E30:F30">
    <cfRule type="expression" dxfId="19" priority="5">
      <formula>$B$29&lt;&gt;""</formula>
    </cfRule>
  </conditionalFormatting>
  <conditionalFormatting sqref="E36:F36">
    <cfRule type="expression" dxfId="18" priority="13">
      <formula>$B$35&lt;&gt;""</formula>
    </cfRule>
  </conditionalFormatting>
  <conditionalFormatting sqref="E42:F42">
    <cfRule type="expression" dxfId="17" priority="21">
      <formula>$B$41&lt;&gt;""</formula>
    </cfRule>
  </conditionalFormatting>
  <conditionalFormatting sqref="E48:F48">
    <cfRule type="expression" dxfId="16" priority="29">
      <formula>$B$47&lt;&gt;""</formula>
    </cfRule>
  </conditionalFormatting>
  <conditionalFormatting sqref="E54:F54">
    <cfRule type="expression" dxfId="15" priority="37">
      <formula>$B$53&lt;&gt;""</formula>
    </cfRule>
  </conditionalFormatting>
  <conditionalFormatting sqref="E60:F60">
    <cfRule type="expression" dxfId="14" priority="45">
      <formula>$B$59&lt;&gt;""</formula>
    </cfRule>
  </conditionalFormatting>
  <conditionalFormatting sqref="E66:F66">
    <cfRule type="expression" dxfId="13" priority="53">
      <formula>$B$65&lt;&gt;""</formula>
    </cfRule>
  </conditionalFormatting>
  <conditionalFormatting sqref="E72:F72">
    <cfRule type="expression" dxfId="12" priority="61">
      <formula>$B$71&lt;&gt;""</formula>
    </cfRule>
  </conditionalFormatting>
  <conditionalFormatting sqref="E78:F78">
    <cfRule type="expression" dxfId="11" priority="69">
      <formula>$B$77&lt;&gt;""</formula>
    </cfRule>
  </conditionalFormatting>
  <conditionalFormatting sqref="E84:F84">
    <cfRule type="expression" dxfId="10" priority="77">
      <formula>$B$83&lt;&gt;""</formula>
    </cfRule>
  </conditionalFormatting>
  <conditionalFormatting sqref="E90:F90">
    <cfRule type="expression" dxfId="9" priority="85">
      <formula>$B$89&lt;&gt;""</formula>
    </cfRule>
  </conditionalFormatting>
  <conditionalFormatting sqref="E96:F96">
    <cfRule type="expression" dxfId="8" priority="93">
      <formula>$B$95&lt;&gt;""</formula>
    </cfRule>
  </conditionalFormatting>
  <conditionalFormatting sqref="E102:F102">
    <cfRule type="expression" dxfId="7" priority="101">
      <formula>$B$101&lt;&gt;""</formula>
    </cfRule>
  </conditionalFormatting>
  <conditionalFormatting sqref="E108:F108">
    <cfRule type="expression" dxfId="6" priority="109">
      <formula>$B$107&lt;&gt;""</formula>
    </cfRule>
  </conditionalFormatting>
  <conditionalFormatting sqref="E114:F114">
    <cfRule type="expression" dxfId="5" priority="117">
      <formula>$B$113&lt;&gt;""</formula>
    </cfRule>
  </conditionalFormatting>
  <conditionalFormatting sqref="E120:F120">
    <cfRule type="expression" dxfId="4" priority="125">
      <formula>$B$119&lt;&gt;""</formula>
    </cfRule>
  </conditionalFormatting>
  <conditionalFormatting sqref="E126:F126">
    <cfRule type="expression" dxfId="3" priority="133">
      <formula>$B$125&lt;&gt;""</formula>
    </cfRule>
  </conditionalFormatting>
  <conditionalFormatting sqref="E132:F132">
    <cfRule type="expression" dxfId="2" priority="141">
      <formula>$B$131&lt;&gt;""</formula>
    </cfRule>
  </conditionalFormatting>
  <conditionalFormatting sqref="E138:F138">
    <cfRule type="expression" dxfId="1" priority="149">
      <formula>$B$137&lt;&gt;""</formula>
    </cfRule>
  </conditionalFormatting>
  <conditionalFormatting sqref="E144:F144">
    <cfRule type="expression" dxfId="0" priority="157">
      <formula>$B$143&lt;&gt;""</formula>
    </cfRule>
  </conditionalFormatting>
  <dataValidations count="1">
    <dataValidation type="list" allowBlank="1" sqref="C5" xr:uid="{00000000-0002-0000-0100-000000000000}">
      <formula1>"Cơ khí Nông Lâm,Cơ khí chế biến &amp; BQ,Kỹ thuật Cơ khí NC,Công nghệ Ô tô,Cơ điện tử,Nhiệt lạnh,Tự động hóa,Năng lượng tái tạo"</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J37"/>
  <sheetViews>
    <sheetView showGridLines="0" workbookViewId="0"/>
  </sheetViews>
  <sheetFormatPr defaultRowHeight="14.5" x14ac:dyDescent="0.35"/>
  <cols>
    <col min="1" max="1" width="12" customWidth="1"/>
    <col min="2" max="2" width="91" customWidth="1"/>
    <col min="3" max="3" width="61" customWidth="1"/>
    <col min="4" max="4" width="16" customWidth="1"/>
    <col min="5" max="5" width="12" customWidth="1"/>
    <col min="6" max="6" width="64" customWidth="1"/>
    <col min="7" max="9" width="49" customWidth="1"/>
    <col min="10" max="10" width="12" customWidth="1"/>
  </cols>
  <sheetData>
    <row r="2" spans="2:10" ht="25" x14ac:dyDescent="0.7">
      <c r="B2" s="2" t="s">
        <v>249</v>
      </c>
    </row>
    <row r="3" spans="2:10" ht="16" x14ac:dyDescent="0.45">
      <c r="B3" s="3" t="s">
        <v>250</v>
      </c>
    </row>
    <row r="5" spans="2:10" x14ac:dyDescent="0.35">
      <c r="C5" s="31">
        <f>COUNTA(Data_Source!$B$2:$B$1000)</f>
        <v>65</v>
      </c>
      <c r="D5" s="30"/>
      <c r="E5" s="37">
        <f>IFERROR(COUNTIF(Data_Source!$D$2:$D$1000, "Tiến sĩ") / C5, 0)</f>
        <v>0.26153846153846155</v>
      </c>
      <c r="F5" s="30"/>
      <c r="G5" s="37">
        <f>IFERROR((COUNTIF(Data_Source!$AI$2:$AI$1000, "Hài lòng") + COUNTIF(Data_Source!$AI$2:$AI$1000, "Rất hài lòng")) / C5, 0)</f>
        <v>0.90769230769230769</v>
      </c>
      <c r="H5" s="30"/>
      <c r="I5" s="37">
        <f>IFERROR((COUNTIF(Data_Source!$BG$2:$BG$1000, "Hài lòng") + COUNTIF(Data_Source!$BG$2:$BG$1000, "Rất hài lòng")) / C5, 0)</f>
        <v>0.89230769230769236</v>
      </c>
      <c r="J5" s="30"/>
    </row>
    <row r="6" spans="2:10" x14ac:dyDescent="0.35">
      <c r="C6" s="32" t="s">
        <v>251</v>
      </c>
      <c r="D6" s="30"/>
      <c r="E6" s="32" t="s">
        <v>252</v>
      </c>
      <c r="F6" s="30"/>
      <c r="G6" s="32" t="s">
        <v>253</v>
      </c>
      <c r="H6" s="30"/>
      <c r="I6" s="32" t="s">
        <v>254</v>
      </c>
      <c r="J6" s="30"/>
    </row>
    <row r="9" spans="2:10" ht="17.5" x14ac:dyDescent="0.45">
      <c r="B9" s="5" t="s">
        <v>255</v>
      </c>
      <c r="F9" s="5" t="s">
        <v>256</v>
      </c>
    </row>
    <row r="11" spans="2:10" ht="16" x14ac:dyDescent="0.45">
      <c r="B11" s="12" t="s">
        <v>257</v>
      </c>
      <c r="C11" s="6" t="s">
        <v>258</v>
      </c>
      <c r="D11" s="6" t="s">
        <v>259</v>
      </c>
      <c r="F11" s="12" t="s">
        <v>260</v>
      </c>
      <c r="G11" s="6" t="s">
        <v>261</v>
      </c>
      <c r="H11" s="6" t="s">
        <v>262</v>
      </c>
      <c r="I11" s="6" t="s">
        <v>263</v>
      </c>
    </row>
    <row r="12" spans="2:10" ht="16" x14ac:dyDescent="0.45">
      <c r="B12" s="13" t="s">
        <v>63</v>
      </c>
      <c r="C12" s="14">
        <f>COUNTIF(Data_Source!$D$2:$D$1000, "Tiến sĩ")</f>
        <v>17</v>
      </c>
      <c r="D12" s="15">
        <f>C12/$C$5</f>
        <v>0.26153846153846155</v>
      </c>
      <c r="F12" s="13" t="s">
        <v>264</v>
      </c>
      <c r="G12" s="15">
        <f>COUNTIF(Data_Source!$V$2:$V$1000, "A") / $C$5</f>
        <v>0.43076923076923079</v>
      </c>
      <c r="H12" s="15">
        <f>COUNTIF(Data_Source!$V$2:$V$1000, "B") / $C$5</f>
        <v>0.52307692307692311</v>
      </c>
      <c r="I12" s="15">
        <f>COUNTIF(Data_Source!$V$2:$V$1000, "C") / $C$5</f>
        <v>4.6153846153846156E-2</v>
      </c>
    </row>
    <row r="13" spans="2:10" ht="16" x14ac:dyDescent="0.45">
      <c r="B13" s="16" t="s">
        <v>80</v>
      </c>
      <c r="C13" s="17">
        <f>COUNTIF(Data_Source!$D$2:$D$1000, "Thạc sĩ")</f>
        <v>41</v>
      </c>
      <c r="D13" s="18">
        <f>C13/$C$5</f>
        <v>0.63076923076923075</v>
      </c>
      <c r="F13" s="16" t="s">
        <v>265</v>
      </c>
      <c r="G13" s="18">
        <f>COUNTIF(Data_Source!$W$2:$W$1000, "A") / $C$5</f>
        <v>0.30769230769230771</v>
      </c>
      <c r="H13" s="18">
        <f>COUNTIF(Data_Source!$W$2:$W$1000, "B") / $C$5</f>
        <v>0.63076923076923075</v>
      </c>
      <c r="I13" s="18">
        <f>COUNTIF(Data_Source!$W$2:$W$1000, "C") / $C$5</f>
        <v>6.1538461538461542E-2</v>
      </c>
    </row>
    <row r="14" spans="2:10" ht="16" x14ac:dyDescent="0.45">
      <c r="B14" s="13" t="s">
        <v>113</v>
      </c>
      <c r="C14" s="14">
        <f>COUNTIF(Data_Source!$D$2:$D$1000, "Đại học / Kỹ sư")</f>
        <v>7</v>
      </c>
      <c r="D14" s="15">
        <f>C14/$C$5</f>
        <v>0.1076923076923077</v>
      </c>
      <c r="F14" s="13" t="s">
        <v>266</v>
      </c>
      <c r="G14" s="15">
        <f>COUNTIF(Data_Source!$X$2:$X$1000, "A") / $C$5</f>
        <v>0.33846153846153848</v>
      </c>
      <c r="H14" s="15">
        <f>COUNTIF(Data_Source!$X$2:$X$1000, "B") / $C$5</f>
        <v>0.53846153846153844</v>
      </c>
      <c r="I14" s="15">
        <f>COUNTIF(Data_Source!$X$2:$X$1000, "C") / $C$5</f>
        <v>0.12307692307692308</v>
      </c>
    </row>
    <row r="15" spans="2:10" ht="16" x14ac:dyDescent="0.45">
      <c r="B15" s="19" t="s">
        <v>267</v>
      </c>
      <c r="C15" s="20">
        <f>SUM(C12:C14)</f>
        <v>65</v>
      </c>
      <c r="D15" s="21">
        <f>SUM(D12:D14)</f>
        <v>1</v>
      </c>
      <c r="F15" s="16" t="s">
        <v>268</v>
      </c>
      <c r="G15" s="18">
        <f>COUNTIF(Data_Source!$Y$2:$Y$1000, "A") / $C$5</f>
        <v>0.35384615384615387</v>
      </c>
      <c r="H15" s="18">
        <f>COUNTIF(Data_Source!$Y$2:$Y$1000, "B") / $C$5</f>
        <v>0.50769230769230766</v>
      </c>
      <c r="I15" s="18">
        <f>COUNTIF(Data_Source!$Y$2:$Y$1000, "C") / $C$5</f>
        <v>0.13846153846153847</v>
      </c>
    </row>
    <row r="16" spans="2:10" ht="16" x14ac:dyDescent="0.45">
      <c r="F16" s="13" t="s">
        <v>269</v>
      </c>
      <c r="G16" s="15">
        <f>COUNTIF(Data_Source!$Z$2:$Z$1000, "A") / $C$5</f>
        <v>0.32307692307692309</v>
      </c>
      <c r="H16" s="15">
        <f>COUNTIF(Data_Source!$Z$2:$Z$1000, "B") / $C$5</f>
        <v>0.44615384615384618</v>
      </c>
      <c r="I16" s="15">
        <f>COUNTIF(Data_Source!$Z$2:$Z$1000, "C") / $C$5</f>
        <v>0.23076923076923078</v>
      </c>
    </row>
    <row r="17" spans="2:9" ht="17.5" x14ac:dyDescent="0.45">
      <c r="B17" s="5" t="s">
        <v>270</v>
      </c>
      <c r="F17" s="5" t="s">
        <v>271</v>
      </c>
    </row>
    <row r="19" spans="2:9" ht="16" x14ac:dyDescent="0.45">
      <c r="B19" s="12" t="s">
        <v>272</v>
      </c>
      <c r="C19" s="36" t="s">
        <v>273</v>
      </c>
      <c r="D19" s="27"/>
      <c r="F19" s="12" t="s">
        <v>274</v>
      </c>
      <c r="G19" s="36" t="s">
        <v>273</v>
      </c>
      <c r="H19" s="27"/>
      <c r="I19" s="27"/>
    </row>
    <row r="20" spans="2:9" ht="16" x14ac:dyDescent="0.45">
      <c r="B20" s="13" t="s">
        <v>275</v>
      </c>
      <c r="C20" s="33">
        <f>IFERROR(AVERAGE(Data_Source!$AD$2:$AD$1000), 0)</f>
        <v>4.4000000000000004</v>
      </c>
      <c r="D20" s="30"/>
      <c r="F20" s="13" t="s">
        <v>276</v>
      </c>
      <c r="G20" s="33">
        <f>IFERROR(AVERAGE(Data_Source!$AK$2:$AS$1000), 0)</f>
        <v>4.1282051282051286</v>
      </c>
      <c r="H20" s="30"/>
      <c r="I20" s="30"/>
    </row>
    <row r="21" spans="2:9" ht="16" x14ac:dyDescent="0.45">
      <c r="B21" s="16" t="s">
        <v>277</v>
      </c>
      <c r="C21" s="34">
        <f>IFERROR(AVERAGE(Data_Source!$AE$2:$AE$1000), 0)</f>
        <v>4.2461538461538462</v>
      </c>
      <c r="D21" s="35"/>
      <c r="F21" s="16" t="s">
        <v>278</v>
      </c>
      <c r="G21" s="34">
        <f>IFERROR(AVERAGE(Data_Source!$AT$2:$AY$1000), 0)</f>
        <v>4.0051282051282051</v>
      </c>
      <c r="H21" s="35"/>
      <c r="I21" s="35"/>
    </row>
    <row r="22" spans="2:9" ht="16" x14ac:dyDescent="0.45">
      <c r="B22" s="13" t="s">
        <v>279</v>
      </c>
      <c r="C22" s="33">
        <f>IFERROR(AVERAGE(Data_Source!$AF$2:$AF$1000), 0)</f>
        <v>4.430769230769231</v>
      </c>
      <c r="D22" s="30"/>
      <c r="F22" s="13" t="s">
        <v>280</v>
      </c>
      <c r="G22" s="33">
        <f>IFERROR(AVERAGE(Data_Source!$AZ$2:$BF$1000), 0)</f>
        <v>4.081318681318681</v>
      </c>
      <c r="H22" s="30"/>
      <c r="I22" s="30"/>
    </row>
    <row r="23" spans="2:9" ht="16" x14ac:dyDescent="0.45">
      <c r="B23" s="16" t="s">
        <v>281</v>
      </c>
      <c r="C23" s="34">
        <f>IFERROR(AVERAGE(Data_Source!$AG$2:$AG$1000), 0)</f>
        <v>4.3692307692307688</v>
      </c>
      <c r="D23" s="35"/>
    </row>
    <row r="24" spans="2:9" ht="16" x14ac:dyDescent="0.45">
      <c r="B24" s="13" t="s">
        <v>282</v>
      </c>
      <c r="C24" s="33">
        <f>IFERROR(AVERAGE(Data_Source!$AH$2:$AH$1000), 0)</f>
        <v>4.3692307692307688</v>
      </c>
      <c r="D24" s="30"/>
    </row>
    <row r="27" spans="2:9" ht="17.5" x14ac:dyDescent="0.45">
      <c r="B27" s="5" t="s">
        <v>283</v>
      </c>
    </row>
    <row r="29" spans="2:9" ht="16" x14ac:dyDescent="0.45">
      <c r="B29" s="12" t="s">
        <v>284</v>
      </c>
      <c r="C29" s="6" t="s">
        <v>258</v>
      </c>
      <c r="D29" s="6" t="s">
        <v>259</v>
      </c>
    </row>
    <row r="30" spans="2:9" ht="16" x14ac:dyDescent="0.45">
      <c r="B30" s="13" t="s">
        <v>74</v>
      </c>
      <c r="C30" s="14">
        <f>COUNTIF(Data_Source!$H$2:$H$1000, "Cơ khí Nông Lâm")</f>
        <v>8</v>
      </c>
      <c r="D30" s="15">
        <f t="shared" ref="D30:D37" si="0">C30/$C$5</f>
        <v>0.12307692307692308</v>
      </c>
    </row>
    <row r="31" spans="2:9" ht="16" x14ac:dyDescent="0.45">
      <c r="B31" s="16" t="s">
        <v>193</v>
      </c>
      <c r="C31" s="17">
        <f>COUNTIF(Data_Source!$H$2:$H$1000, "Cơ khí chế biến &amp; BQ")</f>
        <v>5</v>
      </c>
      <c r="D31" s="18">
        <f t="shared" si="0"/>
        <v>7.6923076923076927E-2</v>
      </c>
    </row>
    <row r="32" spans="2:9" ht="16" x14ac:dyDescent="0.45">
      <c r="B32" s="13" t="s">
        <v>234</v>
      </c>
      <c r="C32" s="14">
        <f>COUNTIF(Data_Source!$H$2:$H$1000, "Kỹ thuật Cơ khí NC")</f>
        <v>1</v>
      </c>
      <c r="D32" s="15">
        <f t="shared" si="0"/>
        <v>1.5384615384615385E-2</v>
      </c>
    </row>
    <row r="33" spans="2:4" ht="16" x14ac:dyDescent="0.45">
      <c r="B33" s="16" t="s">
        <v>179</v>
      </c>
      <c r="C33" s="17">
        <f>COUNTIF(Data_Source!$H$2:$H$1000, "Công nghệ Ô tô")</f>
        <v>1</v>
      </c>
      <c r="D33" s="18">
        <f t="shared" si="0"/>
        <v>1.5384615384615385E-2</v>
      </c>
    </row>
    <row r="34" spans="2:4" ht="16" x14ac:dyDescent="0.45">
      <c r="B34" s="13" t="s">
        <v>96</v>
      </c>
      <c r="C34" s="14">
        <f>COUNTIF(Data_Source!$H$2:$H$1000, "Cơ điện tử")</f>
        <v>16</v>
      </c>
      <c r="D34" s="15">
        <f t="shared" si="0"/>
        <v>0.24615384615384617</v>
      </c>
    </row>
    <row r="35" spans="2:4" ht="16" x14ac:dyDescent="0.45">
      <c r="B35" s="16" t="s">
        <v>78</v>
      </c>
      <c r="C35" s="17">
        <f>COUNTIF(Data_Source!$H$2:$H$1000, "Nhiệt lạnh")</f>
        <v>12</v>
      </c>
      <c r="D35" s="18">
        <f t="shared" si="0"/>
        <v>0.18461538461538463</v>
      </c>
    </row>
    <row r="36" spans="2:4" ht="16" x14ac:dyDescent="0.45">
      <c r="B36" s="13" t="s">
        <v>84</v>
      </c>
      <c r="C36" s="14">
        <f>COUNTIF(Data_Source!$H$2:$H$1000, "Tự động hóa")</f>
        <v>13</v>
      </c>
      <c r="D36" s="15">
        <f t="shared" si="0"/>
        <v>0.2</v>
      </c>
    </row>
    <row r="37" spans="2:4" ht="16" x14ac:dyDescent="0.45">
      <c r="B37" s="16" t="s">
        <v>67</v>
      </c>
      <c r="C37" s="17">
        <f>COUNTIF(Data_Source!$H$2:$H$1000, "Năng lượng tái tạo")</f>
        <v>9</v>
      </c>
      <c r="D37" s="18">
        <f t="shared" si="0"/>
        <v>0.13846153846153847</v>
      </c>
    </row>
  </sheetData>
  <mergeCells count="18">
    <mergeCell ref="C24:D24"/>
    <mergeCell ref="G19:I19"/>
    <mergeCell ref="G22:I22"/>
    <mergeCell ref="G21:I21"/>
    <mergeCell ref="C5:D5"/>
    <mergeCell ref="C19:D19"/>
    <mergeCell ref="G5:H5"/>
    <mergeCell ref="E5:F5"/>
    <mergeCell ref="I5:J5"/>
    <mergeCell ref="C22:D22"/>
    <mergeCell ref="G6:H6"/>
    <mergeCell ref="G20:I20"/>
    <mergeCell ref="C23:D23"/>
    <mergeCell ref="C20:D20"/>
    <mergeCell ref="E6:F6"/>
    <mergeCell ref="C6:D6"/>
    <mergeCell ref="I6:J6"/>
    <mergeCell ref="C21:D21"/>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DongBoDuLieu">
                <anchor moveWithCells="1" sizeWithCells="1">
                  <from>
                    <xdr:col>10</xdr:col>
                    <xdr:colOff>57150</xdr:colOff>
                    <xdr:row>4</xdr:row>
                    <xdr:rowOff>63500</xdr:rowOff>
                  </from>
                  <to>
                    <xdr:col>13</xdr:col>
                    <xdr:colOff>6350</xdr:colOff>
                    <xdr:row>6</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J18"/>
  <sheetViews>
    <sheetView showGridLines="0" workbookViewId="0"/>
  </sheetViews>
  <sheetFormatPr defaultRowHeight="14.5" x14ac:dyDescent="0.35"/>
  <cols>
    <col min="1" max="1" width="12" customWidth="1"/>
    <col min="2" max="2" width="81" customWidth="1"/>
    <col min="3" max="3" width="97" customWidth="1"/>
    <col min="4" max="4" width="102" customWidth="1"/>
    <col min="5" max="5" width="100" customWidth="1"/>
    <col min="6" max="6" width="96" customWidth="1"/>
    <col min="7" max="8" width="92" customWidth="1"/>
    <col min="9" max="9" width="93" customWidth="1"/>
    <col min="10" max="10" width="100" customWidth="1"/>
  </cols>
  <sheetData>
    <row r="2" spans="2:10" ht="25" x14ac:dyDescent="0.7">
      <c r="B2" s="2" t="s">
        <v>285</v>
      </c>
    </row>
    <row r="3" spans="2:10" ht="16" x14ac:dyDescent="0.45">
      <c r="B3" s="3" t="s">
        <v>286</v>
      </c>
    </row>
    <row r="6" spans="2:10" ht="16" x14ac:dyDescent="0.35">
      <c r="B6" s="6" t="s">
        <v>287</v>
      </c>
      <c r="C6" s="6" t="s">
        <v>74</v>
      </c>
      <c r="D6" s="6" t="s">
        <v>193</v>
      </c>
      <c r="E6" s="6" t="s">
        <v>234</v>
      </c>
      <c r="F6" s="6" t="s">
        <v>179</v>
      </c>
      <c r="G6" s="6" t="s">
        <v>96</v>
      </c>
      <c r="H6" s="6" t="s">
        <v>78</v>
      </c>
      <c r="I6" s="6" t="s">
        <v>84</v>
      </c>
      <c r="J6" s="6" t="s">
        <v>67</v>
      </c>
    </row>
    <row r="7" spans="2:10" ht="16" x14ac:dyDescent="0.35">
      <c r="B7" s="14" t="s">
        <v>8</v>
      </c>
      <c r="C7" s="22">
        <f>IFERROR(AVERAGEIFS(Data_Source!$I$2:$I$1000, Data_Source!$H$2:$H$1000, "Cơ khí Nông Lâm"), 0)</f>
        <v>4.625</v>
      </c>
      <c r="D7" s="22">
        <f>IFERROR(AVERAGEIFS(Data_Source!$I$2:$I$1000, Data_Source!$H$2:$H$1000, "Cơ khí chế biến &amp; BQ"), 0)</f>
        <v>4.5999999999999996</v>
      </c>
      <c r="E7" s="22">
        <f>IFERROR(AVERAGEIFS(Data_Source!$I$2:$I$1000, Data_Source!$H$2:$H$1000, "Kỹ thuật Cơ khí NC"), 0)</f>
        <v>4</v>
      </c>
      <c r="F7" s="22">
        <f>IFERROR(AVERAGEIFS(Data_Source!$I$2:$I$1000, Data_Source!$H$2:$H$1000, "Công nghệ Ô tô"), 0)</f>
        <v>4</v>
      </c>
      <c r="G7" s="22">
        <f>IFERROR(AVERAGEIFS(Data_Source!$I$2:$I$1000, Data_Source!$H$2:$H$1000, "Cơ điện tử"), 0)</f>
        <v>4.3125</v>
      </c>
      <c r="H7" s="22">
        <f>IFERROR(AVERAGEIFS(Data_Source!$I$2:$I$1000, Data_Source!$H$2:$H$1000, "Nhiệt lạnh"), 0)</f>
        <v>4.416666666666667</v>
      </c>
      <c r="I7" s="22">
        <f>IFERROR(AVERAGEIFS(Data_Source!$I$2:$I$1000, Data_Source!$H$2:$H$1000, "Tự động hóa"), 0)</f>
        <v>4.6923076923076925</v>
      </c>
      <c r="J7" s="22">
        <f>IFERROR(AVERAGEIFS(Data_Source!$I$2:$I$1000, Data_Source!$H$2:$H$1000, "Năng lượng tái tạo"), 0)</f>
        <v>4.4444444444444446</v>
      </c>
    </row>
    <row r="8" spans="2:10" ht="16" x14ac:dyDescent="0.35">
      <c r="B8" s="17" t="s">
        <v>9</v>
      </c>
      <c r="C8" s="23">
        <f>IFERROR(AVERAGEIFS(Data_Source!$J$2:$J$1000, Data_Source!$H$2:$H$1000, "Cơ khí Nông Lâm"), 0)</f>
        <v>4.125</v>
      </c>
      <c r="D8" s="23">
        <f>IFERROR(AVERAGEIFS(Data_Source!$J$2:$J$1000, Data_Source!$H$2:$H$1000, "Cơ khí chế biến &amp; BQ"), 0)</f>
        <v>4.4000000000000004</v>
      </c>
      <c r="E8" s="23">
        <f>IFERROR(AVERAGEIFS(Data_Source!$J$2:$J$1000, Data_Source!$H$2:$H$1000, "Kỹ thuật Cơ khí NC"), 0)</f>
        <v>3</v>
      </c>
      <c r="F8" s="23">
        <f>IFERROR(AVERAGEIFS(Data_Source!$J$2:$J$1000, Data_Source!$H$2:$H$1000, "Công nghệ Ô tô"), 0)</f>
        <v>4</v>
      </c>
      <c r="G8" s="23">
        <f>IFERROR(AVERAGEIFS(Data_Source!$J$2:$J$1000, Data_Source!$H$2:$H$1000, "Cơ điện tử"), 0)</f>
        <v>3.9375</v>
      </c>
      <c r="H8" s="23">
        <f>IFERROR(AVERAGEIFS(Data_Source!$J$2:$J$1000, Data_Source!$H$2:$H$1000, "Nhiệt lạnh"), 0)</f>
        <v>4.166666666666667</v>
      </c>
      <c r="I8" s="23">
        <f>IFERROR(AVERAGEIFS(Data_Source!$J$2:$J$1000, Data_Source!$H$2:$H$1000, "Tự động hóa"), 0)</f>
        <v>4.4615384615384617</v>
      </c>
      <c r="J8" s="23">
        <f>IFERROR(AVERAGEIFS(Data_Source!$J$2:$J$1000, Data_Source!$H$2:$H$1000, "Năng lượng tái tạo"), 0)</f>
        <v>4.1111111111111107</v>
      </c>
    </row>
    <row r="9" spans="2:10" ht="16" x14ac:dyDescent="0.35">
      <c r="B9" s="14" t="s">
        <v>10</v>
      </c>
      <c r="C9" s="22">
        <f>IFERROR(AVERAGEIFS(Data_Source!$K$2:$K$1000, Data_Source!$H$2:$H$1000, "Cơ khí Nông Lâm"), 0)</f>
        <v>4.625</v>
      </c>
      <c r="D9" s="22">
        <f>IFERROR(AVERAGEIFS(Data_Source!$K$2:$K$1000, Data_Source!$H$2:$H$1000, "Cơ khí chế biến &amp; BQ"), 0)</f>
        <v>4.8</v>
      </c>
      <c r="E9" s="22">
        <f>IFERROR(AVERAGEIFS(Data_Source!$K$2:$K$1000, Data_Source!$H$2:$H$1000, "Kỹ thuật Cơ khí NC"), 0)</f>
        <v>4</v>
      </c>
      <c r="F9" s="22">
        <f>IFERROR(AVERAGEIFS(Data_Source!$K$2:$K$1000, Data_Source!$H$2:$H$1000, "Công nghệ Ô tô"), 0)</f>
        <v>5</v>
      </c>
      <c r="G9" s="22">
        <f>IFERROR(AVERAGEIFS(Data_Source!$K$2:$K$1000, Data_Source!$H$2:$H$1000, "Cơ điện tử"), 0)</f>
        <v>4.625</v>
      </c>
      <c r="H9" s="22">
        <f>IFERROR(AVERAGEIFS(Data_Source!$K$2:$K$1000, Data_Source!$H$2:$H$1000, "Nhiệt lạnh"), 0)</f>
        <v>4.833333333333333</v>
      </c>
      <c r="I9" s="22">
        <f>IFERROR(AVERAGEIFS(Data_Source!$K$2:$K$1000, Data_Source!$H$2:$H$1000, "Tự động hóa"), 0)</f>
        <v>4.6923076923076925</v>
      </c>
      <c r="J9" s="22">
        <f>IFERROR(AVERAGEIFS(Data_Source!$K$2:$K$1000, Data_Source!$H$2:$H$1000, "Năng lượng tái tạo"), 0)</f>
        <v>4.5555555555555554</v>
      </c>
    </row>
    <row r="10" spans="2:10" ht="16" x14ac:dyDescent="0.35">
      <c r="B10" s="17" t="s">
        <v>11</v>
      </c>
      <c r="C10" s="23">
        <f>IFERROR(AVERAGEIFS(Data_Source!$L$2:$L$1000, Data_Source!$H$2:$H$1000, "Cơ khí Nông Lâm"), 0)</f>
        <v>4.75</v>
      </c>
      <c r="D10" s="23">
        <f>IFERROR(AVERAGEIFS(Data_Source!$L$2:$L$1000, Data_Source!$H$2:$H$1000, "Cơ khí chế biến &amp; BQ"), 0)</f>
        <v>4.8</v>
      </c>
      <c r="E10" s="23">
        <f>IFERROR(AVERAGEIFS(Data_Source!$L$2:$L$1000, Data_Source!$H$2:$H$1000, "Kỹ thuật Cơ khí NC"), 0)</f>
        <v>4</v>
      </c>
      <c r="F10" s="23">
        <f>IFERROR(AVERAGEIFS(Data_Source!$L$2:$L$1000, Data_Source!$H$2:$H$1000, "Công nghệ Ô tô"), 0)</f>
        <v>5</v>
      </c>
      <c r="G10" s="23">
        <f>IFERROR(AVERAGEIFS(Data_Source!$L$2:$L$1000, Data_Source!$H$2:$H$1000, "Cơ điện tử"), 0)</f>
        <v>4.4375</v>
      </c>
      <c r="H10" s="23">
        <f>IFERROR(AVERAGEIFS(Data_Source!$L$2:$L$1000, Data_Source!$H$2:$H$1000, "Nhiệt lạnh"), 0)</f>
        <v>4.583333333333333</v>
      </c>
      <c r="I10" s="23">
        <f>IFERROR(AVERAGEIFS(Data_Source!$L$2:$L$1000, Data_Source!$H$2:$H$1000, "Tự động hóa"), 0)</f>
        <v>4.7692307692307692</v>
      </c>
      <c r="J10" s="23">
        <f>IFERROR(AVERAGEIFS(Data_Source!$L$2:$L$1000, Data_Source!$H$2:$H$1000, "Năng lượng tái tạo"), 0)</f>
        <v>4.5555555555555554</v>
      </c>
    </row>
    <row r="11" spans="2:10" ht="16" x14ac:dyDescent="0.35">
      <c r="B11" s="14" t="s">
        <v>12</v>
      </c>
      <c r="C11" s="22">
        <f>IFERROR(AVERAGEIFS(Data_Source!$M$2:$M$1000, Data_Source!$H$2:$H$1000, "Cơ khí Nông Lâm"), 0)</f>
        <v>4.75</v>
      </c>
      <c r="D11" s="22">
        <f>IFERROR(AVERAGEIFS(Data_Source!$M$2:$M$1000, Data_Source!$H$2:$H$1000, "Cơ khí chế biến &amp; BQ"), 0)</f>
        <v>4.8</v>
      </c>
      <c r="E11" s="22">
        <f>IFERROR(AVERAGEIFS(Data_Source!$M$2:$M$1000, Data_Source!$H$2:$H$1000, "Kỹ thuật Cơ khí NC"), 0)</f>
        <v>3</v>
      </c>
      <c r="F11" s="22">
        <f>IFERROR(AVERAGEIFS(Data_Source!$M$2:$M$1000, Data_Source!$H$2:$H$1000, "Công nghệ Ô tô"), 0)</f>
        <v>4</v>
      </c>
      <c r="G11" s="22">
        <f>IFERROR(AVERAGEIFS(Data_Source!$M$2:$M$1000, Data_Source!$H$2:$H$1000, "Cơ điện tử"), 0)</f>
        <v>4.5</v>
      </c>
      <c r="H11" s="22">
        <f>IFERROR(AVERAGEIFS(Data_Source!$M$2:$M$1000, Data_Source!$H$2:$H$1000, "Nhiệt lạnh"), 0)</f>
        <v>4.5</v>
      </c>
      <c r="I11" s="22">
        <f>IFERROR(AVERAGEIFS(Data_Source!$M$2:$M$1000, Data_Source!$H$2:$H$1000, "Tự động hóa"), 0)</f>
        <v>4.9230769230769234</v>
      </c>
      <c r="J11" s="22">
        <f>IFERROR(AVERAGEIFS(Data_Source!$M$2:$M$1000, Data_Source!$H$2:$H$1000, "Năng lượng tái tạo"), 0)</f>
        <v>4.333333333333333</v>
      </c>
    </row>
    <row r="12" spans="2:10" ht="16" x14ac:dyDescent="0.35">
      <c r="B12" s="17" t="s">
        <v>13</v>
      </c>
      <c r="C12" s="23">
        <f>IFERROR(AVERAGEIFS(Data_Source!$N$2:$N$1000, Data_Source!$H$2:$H$1000, "Cơ khí Nông Lâm"), 0)</f>
        <v>4.25</v>
      </c>
      <c r="D12" s="23">
        <f>IFERROR(AVERAGEIFS(Data_Source!$N$2:$N$1000, Data_Source!$H$2:$H$1000, "Cơ khí chế biến &amp; BQ"), 0)</f>
        <v>4.2</v>
      </c>
      <c r="E12" s="23">
        <f>IFERROR(AVERAGEIFS(Data_Source!$N$2:$N$1000, Data_Source!$H$2:$H$1000, "Kỹ thuật Cơ khí NC"), 0)</f>
        <v>3</v>
      </c>
      <c r="F12" s="23">
        <f>IFERROR(AVERAGEIFS(Data_Source!$N$2:$N$1000, Data_Source!$H$2:$H$1000, "Công nghệ Ô tô"), 0)</f>
        <v>4</v>
      </c>
      <c r="G12" s="23">
        <f>IFERROR(AVERAGEIFS(Data_Source!$N$2:$N$1000, Data_Source!$H$2:$H$1000, "Cơ điện tử"), 0)</f>
        <v>4.3125</v>
      </c>
      <c r="H12" s="23">
        <f>IFERROR(AVERAGEIFS(Data_Source!$N$2:$N$1000, Data_Source!$H$2:$H$1000, "Nhiệt lạnh"), 0)</f>
        <v>4.416666666666667</v>
      </c>
      <c r="I12" s="23">
        <f>IFERROR(AVERAGEIFS(Data_Source!$N$2:$N$1000, Data_Source!$H$2:$H$1000, "Tự động hóa"), 0)</f>
        <v>4.6923076923076925</v>
      </c>
      <c r="J12" s="23">
        <f>IFERROR(AVERAGEIFS(Data_Source!$N$2:$N$1000, Data_Source!$H$2:$H$1000, "Năng lượng tái tạo"), 0)</f>
        <v>4.4444444444444446</v>
      </c>
    </row>
    <row r="13" spans="2:10" ht="16" x14ac:dyDescent="0.35">
      <c r="B13" s="14" t="s">
        <v>14</v>
      </c>
      <c r="C13" s="22">
        <f>IFERROR(AVERAGEIFS(Data_Source!$O$2:$O$1000, Data_Source!$H$2:$H$1000, "Cơ khí Nông Lâm"), 0)</f>
        <v>4.25</v>
      </c>
      <c r="D13" s="22">
        <f>IFERROR(AVERAGEIFS(Data_Source!$O$2:$O$1000, Data_Source!$H$2:$H$1000, "Cơ khí chế biến &amp; BQ"), 0)</f>
        <v>4.4000000000000004</v>
      </c>
      <c r="E13" s="22">
        <f>IFERROR(AVERAGEIFS(Data_Source!$O$2:$O$1000, Data_Source!$H$2:$H$1000, "Kỹ thuật Cơ khí NC"), 0)</f>
        <v>4</v>
      </c>
      <c r="F13" s="22">
        <f>IFERROR(AVERAGEIFS(Data_Source!$O$2:$O$1000, Data_Source!$H$2:$H$1000, "Công nghệ Ô tô"), 0)</f>
        <v>4</v>
      </c>
      <c r="G13" s="22">
        <f>IFERROR(AVERAGEIFS(Data_Source!$O$2:$O$1000, Data_Source!$H$2:$H$1000, "Cơ điện tử"), 0)</f>
        <v>4.4375</v>
      </c>
      <c r="H13" s="22">
        <f>IFERROR(AVERAGEIFS(Data_Source!$O$2:$O$1000, Data_Source!$H$2:$H$1000, "Nhiệt lạnh"), 0)</f>
        <v>4.333333333333333</v>
      </c>
      <c r="I13" s="22">
        <f>IFERROR(AVERAGEIFS(Data_Source!$O$2:$O$1000, Data_Source!$H$2:$H$1000, "Tự động hóa"), 0)</f>
        <v>4.9230769230769234</v>
      </c>
      <c r="J13" s="22">
        <f>IFERROR(AVERAGEIFS(Data_Source!$O$2:$O$1000, Data_Source!$H$2:$H$1000, "Năng lượng tái tạo"), 0)</f>
        <v>4.333333333333333</v>
      </c>
    </row>
    <row r="14" spans="2:10" ht="16" x14ac:dyDescent="0.35">
      <c r="B14" s="17" t="s">
        <v>15</v>
      </c>
      <c r="C14" s="23">
        <f>IFERROR(AVERAGEIFS(Data_Source!$P$2:$P$1000, Data_Source!$H$2:$H$1000, "Cơ khí Nông Lâm"), 0)</f>
        <v>4.75</v>
      </c>
      <c r="D14" s="23">
        <f>IFERROR(AVERAGEIFS(Data_Source!$P$2:$P$1000, Data_Source!$H$2:$H$1000, "Cơ khí chế biến &amp; BQ"), 0)</f>
        <v>4.5999999999999996</v>
      </c>
      <c r="E14" s="23">
        <f>IFERROR(AVERAGEIFS(Data_Source!$P$2:$P$1000, Data_Source!$H$2:$H$1000, "Kỹ thuật Cơ khí NC"), 0)</f>
        <v>4</v>
      </c>
      <c r="F14" s="23">
        <f>IFERROR(AVERAGEIFS(Data_Source!$P$2:$P$1000, Data_Source!$H$2:$H$1000, "Công nghệ Ô tô"), 0)</f>
        <v>4</v>
      </c>
      <c r="G14" s="23">
        <f>IFERROR(AVERAGEIFS(Data_Source!$P$2:$P$1000, Data_Source!$H$2:$H$1000, "Cơ điện tử"), 0)</f>
        <v>4.4375</v>
      </c>
      <c r="H14" s="23">
        <f>IFERROR(AVERAGEIFS(Data_Source!$P$2:$P$1000, Data_Source!$H$2:$H$1000, "Nhiệt lạnh"), 0)</f>
        <v>4.583333333333333</v>
      </c>
      <c r="I14" s="23">
        <f>IFERROR(AVERAGEIFS(Data_Source!$P$2:$P$1000, Data_Source!$H$2:$H$1000, "Tự động hóa"), 0)</f>
        <v>4.8461538461538458</v>
      </c>
      <c r="J14" s="23">
        <f>IFERROR(AVERAGEIFS(Data_Source!$P$2:$P$1000, Data_Source!$H$2:$H$1000, "Năng lượng tái tạo"), 0)</f>
        <v>4.2222222222222223</v>
      </c>
    </row>
    <row r="15" spans="2:10" ht="16" x14ac:dyDescent="0.35">
      <c r="B15" s="14" t="s">
        <v>16</v>
      </c>
      <c r="C15" s="22">
        <f>IFERROR(AVERAGEIFS(Data_Source!$Q$2:$Q$1000, Data_Source!$H$2:$H$1000, "Cơ khí Nông Lâm"), 0)</f>
        <v>4.75</v>
      </c>
      <c r="D15" s="22">
        <f>IFERROR(AVERAGEIFS(Data_Source!$Q$2:$Q$1000, Data_Source!$H$2:$H$1000, "Cơ khí chế biến &amp; BQ"), 0)</f>
        <v>4.5999999999999996</v>
      </c>
      <c r="E15" s="22">
        <f>IFERROR(AVERAGEIFS(Data_Source!$Q$2:$Q$1000, Data_Source!$H$2:$H$1000, "Kỹ thuật Cơ khí NC"), 0)</f>
        <v>4</v>
      </c>
      <c r="F15" s="22">
        <f>IFERROR(AVERAGEIFS(Data_Source!$Q$2:$Q$1000, Data_Source!$H$2:$H$1000, "Công nghệ Ô tô"), 0)</f>
        <v>4</v>
      </c>
      <c r="G15" s="22">
        <f>IFERROR(AVERAGEIFS(Data_Source!$Q$2:$Q$1000, Data_Source!$H$2:$H$1000, "Cơ điện tử"), 0)</f>
        <v>4.5625</v>
      </c>
      <c r="H15" s="22">
        <f>IFERROR(AVERAGEIFS(Data_Source!$Q$2:$Q$1000, Data_Source!$H$2:$H$1000, "Nhiệt lạnh"), 0)</f>
        <v>4.416666666666667</v>
      </c>
      <c r="I15" s="22">
        <f>IFERROR(AVERAGEIFS(Data_Source!$Q$2:$Q$1000, Data_Source!$H$2:$H$1000, "Tự động hóa"), 0)</f>
        <v>4.6923076923076925</v>
      </c>
      <c r="J15" s="22">
        <f>IFERROR(AVERAGEIFS(Data_Source!$Q$2:$Q$1000, Data_Source!$H$2:$H$1000, "Năng lượng tái tạo"), 0)</f>
        <v>4.5555555555555554</v>
      </c>
    </row>
    <row r="16" spans="2:10" ht="16" x14ac:dyDescent="0.35">
      <c r="B16" s="17" t="s">
        <v>17</v>
      </c>
      <c r="C16" s="23">
        <f>IFERROR(AVERAGEIFS(Data_Source!$R$2:$R$1000, Data_Source!$H$2:$H$1000, "Cơ khí Nông Lâm"), 0)</f>
        <v>4.625</v>
      </c>
      <c r="D16" s="23">
        <f>IFERROR(AVERAGEIFS(Data_Source!$R$2:$R$1000, Data_Source!$H$2:$H$1000, "Cơ khí chế biến &amp; BQ"), 0)</f>
        <v>4.4000000000000004</v>
      </c>
      <c r="E16" s="23">
        <f>IFERROR(AVERAGEIFS(Data_Source!$R$2:$R$1000, Data_Source!$H$2:$H$1000, "Kỹ thuật Cơ khí NC"), 0)</f>
        <v>4</v>
      </c>
      <c r="F16" s="23">
        <f>IFERROR(AVERAGEIFS(Data_Source!$R$2:$R$1000, Data_Source!$H$2:$H$1000, "Công nghệ Ô tô"), 0)</f>
        <v>4</v>
      </c>
      <c r="G16" s="23">
        <f>IFERROR(AVERAGEIFS(Data_Source!$R$2:$R$1000, Data_Source!$H$2:$H$1000, "Cơ điện tử"), 0)</f>
        <v>4.4375</v>
      </c>
      <c r="H16" s="23">
        <f>IFERROR(AVERAGEIFS(Data_Source!$R$2:$R$1000, Data_Source!$H$2:$H$1000, "Nhiệt lạnh"), 0)</f>
        <v>4.416666666666667</v>
      </c>
      <c r="I16" s="23">
        <f>IFERROR(AVERAGEIFS(Data_Source!$R$2:$R$1000, Data_Source!$H$2:$H$1000, "Tự động hóa"), 0)</f>
        <v>4.7692307692307692</v>
      </c>
      <c r="J16" s="23">
        <f>IFERROR(AVERAGEIFS(Data_Source!$R$2:$R$1000, Data_Source!$H$2:$H$1000, "Năng lượng tái tạo"), 0)</f>
        <v>4.666666666666667</v>
      </c>
    </row>
    <row r="17" spans="2:10" ht="16" x14ac:dyDescent="0.35">
      <c r="B17" s="14" t="s">
        <v>18</v>
      </c>
      <c r="C17" s="22">
        <f>IFERROR(AVERAGEIFS(Data_Source!$S$2:$S$1000, Data_Source!$H$2:$H$1000, "Cơ khí Nông Lâm"), 0)</f>
        <v>4.5</v>
      </c>
      <c r="D17" s="22">
        <f>IFERROR(AVERAGEIFS(Data_Source!$S$2:$S$1000, Data_Source!$H$2:$H$1000, "Cơ khí chế biến &amp; BQ"), 0)</f>
        <v>4.4000000000000004</v>
      </c>
      <c r="E17" s="22">
        <f>IFERROR(AVERAGEIFS(Data_Source!$S$2:$S$1000, Data_Source!$H$2:$H$1000, "Kỹ thuật Cơ khí NC"), 0)</f>
        <v>4</v>
      </c>
      <c r="F17" s="22">
        <f>IFERROR(AVERAGEIFS(Data_Source!$S$2:$S$1000, Data_Source!$H$2:$H$1000, "Công nghệ Ô tô"), 0)</f>
        <v>4</v>
      </c>
      <c r="G17" s="22">
        <f>IFERROR(AVERAGEIFS(Data_Source!$S$2:$S$1000, Data_Source!$H$2:$H$1000, "Cơ điện tử"), 0)</f>
        <v>4.4375</v>
      </c>
      <c r="H17" s="22">
        <f>IFERROR(AVERAGEIFS(Data_Source!$S$2:$S$1000, Data_Source!$H$2:$H$1000, "Nhiệt lạnh"), 0)</f>
        <v>4.416666666666667</v>
      </c>
      <c r="I17" s="22">
        <f>IFERROR(AVERAGEIFS(Data_Source!$S$2:$S$1000, Data_Source!$H$2:$H$1000, "Tự động hóa"), 0)</f>
        <v>4.1538461538461542</v>
      </c>
      <c r="J17" s="22">
        <f>IFERROR(AVERAGEIFS(Data_Source!$S$2:$S$1000, Data_Source!$H$2:$H$1000, "Năng lượng tái tạo"), 0)</f>
        <v>4.5555555555555554</v>
      </c>
    </row>
    <row r="18" spans="2:10" ht="16" x14ac:dyDescent="0.35">
      <c r="B18" s="17" t="s">
        <v>19</v>
      </c>
      <c r="C18" s="23">
        <f>IFERROR(AVERAGEIFS(Data_Source!$T$2:$T$1000, Data_Source!$H$2:$H$1000, "Cơ khí Nông Lâm"), 0)</f>
        <v>4.375</v>
      </c>
      <c r="D18" s="23">
        <f>IFERROR(AVERAGEIFS(Data_Source!$T$2:$T$1000, Data_Source!$H$2:$H$1000, "Cơ khí chế biến &amp; BQ"), 0)</f>
        <v>4.4000000000000004</v>
      </c>
      <c r="E18" s="23">
        <f>IFERROR(AVERAGEIFS(Data_Source!$T$2:$T$1000, Data_Source!$H$2:$H$1000, "Kỹ thuật Cơ khí NC"), 0)</f>
        <v>4</v>
      </c>
      <c r="F18" s="23">
        <f>IFERROR(AVERAGEIFS(Data_Source!$T$2:$T$1000, Data_Source!$H$2:$H$1000, "Công nghệ Ô tô"), 0)</f>
        <v>4</v>
      </c>
      <c r="G18" s="23">
        <f>IFERROR(AVERAGEIFS(Data_Source!$T$2:$T$1000, Data_Source!$H$2:$H$1000, "Cơ điện tử"), 0)</f>
        <v>4.375</v>
      </c>
      <c r="H18" s="23">
        <f>IFERROR(AVERAGEIFS(Data_Source!$T$2:$T$1000, Data_Source!$H$2:$H$1000, "Nhiệt lạnh"), 0)</f>
        <v>4.25</v>
      </c>
      <c r="I18" s="23">
        <f>IFERROR(AVERAGEIFS(Data_Source!$T$2:$T$1000, Data_Source!$H$2:$H$1000, "Tự động hóa"), 0)</f>
        <v>4.384615384615385</v>
      </c>
      <c r="J18" s="23">
        <f>IFERROR(AVERAGEIFS(Data_Source!$T$2:$T$1000, Data_Source!$H$2:$H$1000, "Năng lượng tái tạo"), 0)</f>
        <v>4.5555555555555554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H25"/>
  <sheetViews>
    <sheetView showGridLines="0" workbookViewId="0"/>
  </sheetViews>
  <sheetFormatPr defaultRowHeight="14.5" x14ac:dyDescent="0.35"/>
  <cols>
    <col min="2" max="2" width="20" customWidth="1"/>
    <col min="3" max="3" width="12" customWidth="1"/>
    <col min="4" max="4" width="25" customWidth="1"/>
    <col min="5" max="5" width="35" customWidth="1"/>
    <col min="6" max="8" width="25" customWidth="1"/>
  </cols>
  <sheetData>
    <row r="2" spans="2:8" ht="25" x14ac:dyDescent="0.7">
      <c r="B2" s="2" t="s">
        <v>288</v>
      </c>
    </row>
    <row r="3" spans="2:8" ht="16" x14ac:dyDescent="0.45">
      <c r="B3" s="3" t="s">
        <v>289</v>
      </c>
    </row>
    <row r="5" spans="2:8" ht="16" x14ac:dyDescent="0.35">
      <c r="B5" s="6" t="s">
        <v>2</v>
      </c>
      <c r="C5" s="6" t="s">
        <v>290</v>
      </c>
      <c r="D5" s="6" t="s">
        <v>291</v>
      </c>
      <c r="E5" s="6" t="s">
        <v>292</v>
      </c>
      <c r="F5" s="6" t="s">
        <v>26</v>
      </c>
      <c r="G5" s="6" t="s">
        <v>27</v>
      </c>
      <c r="H5" s="6" t="s">
        <v>293</v>
      </c>
    </row>
    <row r="6" spans="2:8" ht="40" customHeight="1" x14ac:dyDescent="0.35">
      <c r="B6" s="24" t="str">
        <f>IF(ISERROR(MATCH(1, Data_Source!$A$2:$A$1000, 0)), "", IFERROR(VLOOKUP(1, Data_Source!$A$2:$BJ$1000, 3, FALSE) &amp; "", ""))</f>
        <v>Nguyễn Văn Lành</v>
      </c>
      <c r="C6" s="7" t="str">
        <f>IF($B$6="","", IFERROR(IF(VLOOKUP(1, Data_Source!$A$2:$BJ$1000, 4, FALSE)="","",VLOOKUP(1, Data_Source!$A$2:$BJ$1000, 4, FALSE)), "None"))</f>
        <v>Tiến sĩ</v>
      </c>
      <c r="D6" s="24" t="str">
        <f>IF($B$6="","", IFERROR(IF(VLOOKUP(1, Data_Source!$A$2:$BJ$1000, 5, FALSE)="","",VLOOKUP(1, Data_Source!$A$2:$BJ$1000, 5, FALSE)), "None"))</f>
        <v>An toàn lao động, Máy sau thu hoạch</v>
      </c>
      <c r="E6" s="7" t="str">
        <f>IF($B$6="","", IFERROR(IF(VLOOKUP(1, Data_Source!$A$2:$BJ$1000, 21, FALSE)="","",VLOOKUP(1, Data_Source!$A$2:$BJ$1000, 21, FALSE)), "None"))</f>
        <v/>
      </c>
      <c r="F6" s="7" t="str">
        <f>IF($B$6="","", IFERROR(IF(VLOOKUP(1, Data_Source!$A$2:$BJ$1000, 27, FALSE)="","",VLOOKUP(1, Data_Source!$A$2:$BJ$1000, 27, FALSE)), "None"))</f>
        <v/>
      </c>
      <c r="G6" s="7" t="str">
        <f>IF($B$6="","", IFERROR(IF(VLOOKUP(1, Data_Source!$A$2:$BJ$1000, 28, FALSE)="","",VLOOKUP(1, Data_Source!$A$2:$BJ$1000, 28, FALSE)), "None"))</f>
        <v/>
      </c>
      <c r="H6" s="24" t="str">
        <f>IF($B$6="","", IFERROR(IF(VLOOKUP(1, Data_Source!$A$2:$BJ$1000, 62, FALSE)="","",VLOOKUP(1, Data_Source!$A$2:$BJ$1000, 62, FALSE)), "None"))</f>
        <v/>
      </c>
    </row>
    <row r="7" spans="2:8" ht="40" customHeight="1" x14ac:dyDescent="0.35">
      <c r="B7" s="25" t="str">
        <f>IF(ISERROR(MATCH(2, Data_Source!$A$2:$A$1000, 0)), "", IFERROR(VLOOKUP(2, Data_Source!$A$2:$BJ$1000, 3, FALSE) &amp; "", ""))</f>
        <v>Nguyễn Thanh Nghị</v>
      </c>
      <c r="C7" s="9" t="str">
        <f>IF($B$7="","", IFERROR(IF(VLOOKUP(2, Data_Source!$A$2:$BJ$1000, 4, FALSE)="","",VLOOKUP(2, Data_Source!$A$2:$BJ$1000, 4, FALSE)), "None"))</f>
        <v>Tiến sĩ</v>
      </c>
      <c r="D7" s="25" t="str">
        <f>IF($B$7="","", IFERROR(IF(VLOOKUP(2, Data_Source!$A$2:$BJ$1000, 5, FALSE)="","",VLOOKUP(2, Data_Source!$A$2:$BJ$1000, 5, FALSE)), "None"))</f>
        <v>Máy nông nghiệp; Máy thu hoạch; Anh văn kỹ thuật</v>
      </c>
      <c r="E7" s="9" t="str">
        <f>IF($B$7="","", IFERROR(IF(VLOOKUP(2, Data_Source!$A$2:$BJ$1000, 21, FALSE)="","",VLOOKUP(2, Data_Source!$A$2:$BJ$1000, 21, FALSE)), "None"))</f>
        <v/>
      </c>
      <c r="F7" s="9" t="str">
        <f>IF($B$7="","", IFERROR(IF(VLOOKUP(2, Data_Source!$A$2:$BJ$1000, 27, FALSE)="","",VLOOKUP(2, Data_Source!$A$2:$BJ$1000, 27, FALSE)), "None"))</f>
        <v/>
      </c>
      <c r="G7" s="9" t="str">
        <f>IF($B$7="","", IFERROR(IF(VLOOKUP(2, Data_Source!$A$2:$BJ$1000, 28, FALSE)="","",VLOOKUP(2, Data_Source!$A$2:$BJ$1000, 28, FALSE)), "None"))</f>
        <v/>
      </c>
      <c r="H7" s="25" t="str">
        <f>IF($B$7="","", IFERROR(IF(VLOOKUP(2, Data_Source!$A$2:$BJ$1000, 62, FALSE)="","",VLOOKUP(2, Data_Source!$A$2:$BJ$1000, 62, FALSE)), "None"))</f>
        <v/>
      </c>
    </row>
    <row r="8" spans="2:8" ht="40" customHeight="1" x14ac:dyDescent="0.35">
      <c r="B8" s="24" t="str">
        <f>IF(ISERROR(MATCH(3, Data_Source!$A$2:$A$1000, 0)), "", IFERROR(VLOOKUP(3, Data_Source!$A$2:$BJ$1000, 3, FALSE) &amp; "", ""))</f>
        <v>Nguyễn Văn Tuấn Anh</v>
      </c>
      <c r="C8" s="7" t="str">
        <f>IF($B$8="","", IFERROR(IF(VLOOKUP(3, Data_Source!$A$2:$BJ$1000, 4, FALSE)="","",VLOOKUP(3, Data_Source!$A$2:$BJ$1000, 4, FALSE)), "None"))</f>
        <v>Thạc sĩ</v>
      </c>
      <c r="D8" s="24" t="str">
        <f>IF($B$8="","", IFERROR(IF(VLOOKUP(3, Data_Source!$A$2:$BJ$1000, 5, FALSE)="","",VLOOKUP(3, Data_Source!$A$2:$BJ$1000, 5, FALSE)), "None"))</f>
        <v>Động cơ đốt trong, bảo dưỡng kỹ thuật 1, 2</v>
      </c>
      <c r="E8" s="7" t="str">
        <f>IF($B$8="","", IFERROR(IF(VLOOKUP(3, Data_Source!$A$2:$BJ$1000, 21, FALSE)="","",VLOOKUP(3, Data_Source!$A$2:$BJ$1000, 21, FALSE)), "None"))</f>
        <v/>
      </c>
      <c r="F8" s="7" t="str">
        <f>IF($B$8="","", IFERROR(IF(VLOOKUP(3, Data_Source!$A$2:$BJ$1000, 27, FALSE)="","",VLOOKUP(3, Data_Source!$A$2:$BJ$1000, 27, FALSE)), "None"))</f>
        <v/>
      </c>
      <c r="G8" s="7" t="str">
        <f>IF($B$8="","", IFERROR(IF(VLOOKUP(3, Data_Source!$A$2:$BJ$1000, 28, FALSE)="","",VLOOKUP(3, Data_Source!$A$2:$BJ$1000, 28, FALSE)), "None"))</f>
        <v/>
      </c>
      <c r="H8" s="24" t="str">
        <f>IF($B$8="","", IFERROR(IF(VLOOKUP(3, Data_Source!$A$2:$BJ$1000, 62, FALSE)="","",VLOOKUP(3, Data_Source!$A$2:$BJ$1000, 62, FALSE)), "None"))</f>
        <v/>
      </c>
    </row>
    <row r="9" spans="2:8" ht="40" customHeight="1" x14ac:dyDescent="0.35">
      <c r="B9" s="25" t="str">
        <f>IF(ISERROR(MATCH(4, Data_Source!$A$2:$A$1000, 0)), "", IFERROR(VLOOKUP(4, Data_Source!$A$2:$BJ$1000, 3, FALSE) &amp; "", ""))</f>
        <v>Nguyễn Thị Kiều Hạnh</v>
      </c>
      <c r="C9" s="9" t="str">
        <f>IF($B$9="","", IFERROR(IF(VLOOKUP(4, Data_Source!$A$2:$BJ$1000, 4, FALSE)="","",VLOOKUP(4, Data_Source!$A$2:$BJ$1000, 4, FALSE)), "None"))</f>
        <v>Thạc sĩ</v>
      </c>
      <c r="D9" s="25" t="str">
        <f>IF($B$9="","", IFERROR(IF(VLOOKUP(4, Data_Source!$A$2:$BJ$1000, 5, FALSE)="","",VLOOKUP(4, Data_Source!$A$2:$BJ$1000, 5, FALSE)), "None"))</f>
        <v>Hình họa họa hình - Vẽ kỹ thuật, Vẽ kỹ thuật 2, Vẽ cơ khí, Chi tiết máy, Đồ án chi tiết máy</v>
      </c>
      <c r="E9" s="9" t="str">
        <f>IF($B$9="","", IFERROR(IF(VLOOKUP(4, Data_Source!$A$2:$BJ$1000, 21, FALSE)="","",VLOOKUP(4, Data_Source!$A$2:$BJ$1000, 21, FALSE)), "None"))</f>
        <v/>
      </c>
      <c r="F9" s="9" t="str">
        <f>IF($B$9="","", IFERROR(IF(VLOOKUP(4, Data_Source!$A$2:$BJ$1000, 27, FALSE)="","",VLOOKUP(4, Data_Source!$A$2:$BJ$1000, 27, FALSE)), "None"))</f>
        <v/>
      </c>
      <c r="G9" s="9" t="str">
        <f>IF($B$9="","", IFERROR(IF(VLOOKUP(4, Data_Source!$A$2:$BJ$1000, 28, FALSE)="","",VLOOKUP(4, Data_Source!$A$2:$BJ$1000, 28, FALSE)), "None"))</f>
        <v/>
      </c>
      <c r="H9" s="25" t="str">
        <f>IF($B$9="","", IFERROR(IF(VLOOKUP(4, Data_Source!$A$2:$BJ$1000, 62, FALSE)="","",VLOOKUP(4, Data_Source!$A$2:$BJ$1000, 62, FALSE)), "None"))</f>
        <v/>
      </c>
    </row>
    <row r="10" spans="2:8" ht="40" customHeight="1" x14ac:dyDescent="0.35">
      <c r="B10" s="24" t="str">
        <f>IF(ISERROR(MATCH(5, Data_Source!$A$2:$A$1000, 0)), "", IFERROR(VLOOKUP(5, Data_Source!$A$2:$BJ$1000, 3, FALSE) &amp; "", ""))</f>
        <v>Phan Minh Hiếu</v>
      </c>
      <c r="C10" s="7" t="str">
        <f>IF($B$10="","", IFERROR(IF(VLOOKUP(5, Data_Source!$A$2:$BJ$1000, 4, FALSE)="","",VLOOKUP(5, Data_Source!$A$2:$BJ$1000, 4, FALSE)), "None"))</f>
        <v>Thạc sĩ</v>
      </c>
      <c r="D10" s="24" t="str">
        <f>IF($B$10="","", IFERROR(IF(VLOOKUP(5, Data_Source!$A$2:$BJ$1000, 5, FALSE)="","",VLOOKUP(5, Data_Source!$A$2:$BJ$1000, 5, FALSE)), "None"))</f>
        <v>207126; 207154; 207603</v>
      </c>
      <c r="E10" s="7" t="str">
        <f>IF($B$10="","", IFERROR(IF(VLOOKUP(5, Data_Source!$A$2:$BJ$1000, 21, FALSE)="","",VLOOKUP(5, Data_Source!$A$2:$BJ$1000, 21, FALSE)), "None"))</f>
        <v/>
      </c>
      <c r="F10" s="7" t="str">
        <f>IF($B$10="","", IFERROR(IF(VLOOKUP(5, Data_Source!$A$2:$BJ$1000, 27, FALSE)="","",VLOOKUP(5, Data_Source!$A$2:$BJ$1000, 27, FALSE)), "None"))</f>
        <v/>
      </c>
      <c r="G10" s="7" t="str">
        <f>IF($B$10="","", IFERROR(IF(VLOOKUP(5, Data_Source!$A$2:$BJ$1000, 28, FALSE)="","",VLOOKUP(5, Data_Source!$A$2:$BJ$1000, 28, FALSE)), "None"))</f>
        <v/>
      </c>
      <c r="H10" s="24" t="str">
        <f>IF($B$10="","", IFERROR(IF(VLOOKUP(5, Data_Source!$A$2:$BJ$1000, 62, FALSE)="","",VLOOKUP(5, Data_Source!$A$2:$BJ$1000, 62, FALSE)), "None"))</f>
        <v/>
      </c>
    </row>
    <row r="11" spans="2:8" ht="40" customHeight="1" x14ac:dyDescent="0.35">
      <c r="B11" s="25" t="str">
        <f>IF(ISERROR(MATCH(6, Data_Source!$A$2:$A$1000, 0)), "", IFERROR(VLOOKUP(6, Data_Source!$A$2:$BJ$1000, 3, FALSE) &amp; "", ""))</f>
        <v>Lê Quang Hiền</v>
      </c>
      <c r="C11" s="9" t="str">
        <f>IF($B$11="","", IFERROR(IF(VLOOKUP(6, Data_Source!$A$2:$BJ$1000, 4, FALSE)="","",VLOOKUP(6, Data_Source!$A$2:$BJ$1000, 4, FALSE)), "None"))</f>
        <v>Thạc sĩ</v>
      </c>
      <c r="D11" s="25" t="str">
        <f>IF($B$11="","", IFERROR(IF(VLOOKUP(6, Data_Source!$A$2:$BJ$1000, 5, FALSE)="","",VLOOKUP(6, Data_Source!$A$2:$BJ$1000, 5, FALSE)), "None"))</f>
        <v>Kỹ thuật điện</v>
      </c>
      <c r="E11" s="9" t="str">
        <f>IF($B$11="","", IFERROR(IF(VLOOKUP(6, Data_Source!$A$2:$BJ$1000, 21, FALSE)="","",VLOOKUP(6, Data_Source!$A$2:$BJ$1000, 21, FALSE)), "None"))</f>
        <v/>
      </c>
      <c r="F11" s="9" t="str">
        <f>IF($B$11="","", IFERROR(IF(VLOOKUP(6, Data_Source!$A$2:$BJ$1000, 27, FALSE)="","",VLOOKUP(6, Data_Source!$A$2:$BJ$1000, 27, FALSE)), "None"))</f>
        <v/>
      </c>
      <c r="G11" s="9" t="str">
        <f>IF($B$11="","", IFERROR(IF(VLOOKUP(6, Data_Source!$A$2:$BJ$1000, 28, FALSE)="","",VLOOKUP(6, Data_Source!$A$2:$BJ$1000, 28, FALSE)), "None"))</f>
        <v/>
      </c>
      <c r="H11" s="25" t="str">
        <f>IF($B$11="","", IFERROR(IF(VLOOKUP(6, Data_Source!$A$2:$BJ$1000, 62, FALSE)="","",VLOOKUP(6, Data_Source!$A$2:$BJ$1000, 62, FALSE)), "None"))</f>
        <v/>
      </c>
    </row>
    <row r="12" spans="2:8" ht="40" customHeight="1" x14ac:dyDescent="0.35">
      <c r="B12" s="24" t="str">
        <f>IF(ISERROR(MATCH(7, Data_Source!$A$2:$A$1000, 0)), "", IFERROR(VLOOKUP(7, Data_Source!$A$2:$BJ$1000, 3, FALSE) &amp; "", ""))</f>
        <v>Lê Văn Tuấn</v>
      </c>
      <c r="C12" s="7" t="str">
        <f>IF($B$12="","", IFERROR(IF(VLOOKUP(7, Data_Source!$A$2:$BJ$1000, 4, FALSE)="","",VLOOKUP(7, Data_Source!$A$2:$BJ$1000, 4, FALSE)), "None"))</f>
        <v>Thạc sĩ</v>
      </c>
      <c r="D12" s="24" t="str">
        <f>IF($B$12="","", IFERROR(IF(VLOOKUP(7, Data_Source!$A$2:$BJ$1000, 5, FALSE)="","",VLOOKUP(7, Data_Source!$A$2:$BJ$1000, 5, FALSE)), "None"))</f>
        <v>AutoCAD, UDTHTTKM, Thực tập gia công Hàn Nguội</v>
      </c>
      <c r="E12" s="7" t="str">
        <f>IF($B$12="","", IFERROR(IF(VLOOKUP(7, Data_Source!$A$2:$BJ$1000, 21, FALSE)="","",VLOOKUP(7, Data_Source!$A$2:$BJ$1000, 21, FALSE)), "None"))</f>
        <v/>
      </c>
      <c r="F12" s="7" t="str">
        <f>IF($B$12="","", IFERROR(IF(VLOOKUP(7, Data_Source!$A$2:$BJ$1000, 27, FALSE)="","",VLOOKUP(7, Data_Source!$A$2:$BJ$1000, 27, FALSE)), "None"))</f>
        <v/>
      </c>
      <c r="G12" s="7" t="str">
        <f>IF($B$12="","", IFERROR(IF(VLOOKUP(7, Data_Source!$A$2:$BJ$1000, 28, FALSE)="","",VLOOKUP(7, Data_Source!$A$2:$BJ$1000, 28, FALSE)), "None"))</f>
        <v/>
      </c>
      <c r="H12" s="24" t="str">
        <f>IF($B$12="","", IFERROR(IF(VLOOKUP(7, Data_Source!$A$2:$BJ$1000, 62, FALSE)="","",VLOOKUP(7, Data_Source!$A$2:$BJ$1000, 62, FALSE)), "None"))</f>
        <v/>
      </c>
    </row>
    <row r="13" spans="2:8" ht="40" customHeight="1" x14ac:dyDescent="0.35">
      <c r="B13" s="25" t="str">
        <f>IF(ISERROR(MATCH(8, Data_Source!$A$2:$A$1000, 0)), "", IFERROR(VLOOKUP(8, Data_Source!$A$2:$BJ$1000, 3, FALSE) &amp; "", ""))</f>
        <v>TRƯƠNG QUANG TRƯỜNG</v>
      </c>
      <c r="C13" s="9" t="str">
        <f>IF($B$13="","", IFERROR(IF(VLOOKUP(8, Data_Source!$A$2:$BJ$1000, 4, FALSE)="","",VLOOKUP(8, Data_Source!$A$2:$BJ$1000, 4, FALSE)), "None"))</f>
        <v>Thạc sĩ</v>
      </c>
      <c r="D13" s="25" t="str">
        <f>IF($B$13="","", IFERROR(IF(VLOOKUP(8, Data_Source!$A$2:$BJ$1000, 5, FALSE)="","",VLOOKUP(8, Data_Source!$A$2:$BJ$1000, 5, FALSE)), "None"))</f>
        <v>Nguyên lý máy, Sức bền vật liệu, Cơ học ứng dụng,...</v>
      </c>
      <c r="E13" s="9" t="str">
        <f>IF($B$13="","", IFERROR(IF(VLOOKUP(8, Data_Source!$A$2:$BJ$1000, 21, FALSE)="","",VLOOKUP(8, Data_Source!$A$2:$BJ$1000, 21, FALSE)), "None"))</f>
        <v/>
      </c>
      <c r="F13" s="9" t="str">
        <f>IF($B$13="","", IFERROR(IF(VLOOKUP(8, Data_Source!$A$2:$BJ$1000, 27, FALSE)="","",VLOOKUP(8, Data_Source!$A$2:$BJ$1000, 27, FALSE)), "None"))</f>
        <v/>
      </c>
      <c r="G13" s="9" t="str">
        <f>IF($B$13="","", IFERROR(IF(VLOOKUP(8, Data_Source!$A$2:$BJ$1000, 28, FALSE)="","",VLOOKUP(8, Data_Source!$A$2:$BJ$1000, 28, FALSE)), "None"))</f>
        <v/>
      </c>
      <c r="H13" s="25" t="str">
        <f>IF($B$13="","", IFERROR(IF(VLOOKUP(8, Data_Source!$A$2:$BJ$1000, 62, FALSE)="","",VLOOKUP(8, Data_Source!$A$2:$BJ$1000, 62, FALSE)), "None"))</f>
        <v/>
      </c>
    </row>
    <row r="14" spans="2:8" ht="40" customHeight="1" x14ac:dyDescent="0.35">
      <c r="B14" s="24" t="str">
        <f>IF(ISERROR(MATCH(9, Data_Source!$A$2:$A$1000, 0)), "", IFERROR(VLOOKUP(9, Data_Source!$A$2:$BJ$1000, 3, FALSE) &amp; "", ""))</f>
        <v/>
      </c>
      <c r="C14" s="7" t="str">
        <f>IF($B$14="","", IFERROR(IF(VLOOKUP(9, Data_Source!$A$2:$BJ$1000, 4, FALSE)="","",VLOOKUP(9, Data_Source!$A$2:$BJ$1000, 4, FALSE)), "None"))</f>
        <v/>
      </c>
      <c r="D14" s="24" t="str">
        <f>IF($B$14="","", IFERROR(IF(VLOOKUP(9, Data_Source!$A$2:$BJ$1000, 5, FALSE)="","",VLOOKUP(9, Data_Source!$A$2:$BJ$1000, 5, FALSE)), "None"))</f>
        <v/>
      </c>
      <c r="E14" s="7" t="str">
        <f>IF($B$14="","", IFERROR(IF(VLOOKUP(9, Data_Source!$A$2:$BJ$1000, 21, FALSE)="","",VLOOKUP(9, Data_Source!$A$2:$BJ$1000, 21, FALSE)), "None"))</f>
        <v/>
      </c>
      <c r="F14" s="7" t="str">
        <f>IF($B$14="","", IFERROR(IF(VLOOKUP(9, Data_Source!$A$2:$BJ$1000, 27, FALSE)="","",VLOOKUP(9, Data_Source!$A$2:$BJ$1000, 27, FALSE)), "None"))</f>
        <v/>
      </c>
      <c r="G14" s="7" t="str">
        <f>IF($B$14="","", IFERROR(IF(VLOOKUP(9, Data_Source!$A$2:$BJ$1000, 28, FALSE)="","",VLOOKUP(9, Data_Source!$A$2:$BJ$1000, 28, FALSE)), "None"))</f>
        <v/>
      </c>
      <c r="H14" s="24" t="str">
        <f>IF($B$14="","", IFERROR(IF(VLOOKUP(9, Data_Source!$A$2:$BJ$1000, 62, FALSE)="","",VLOOKUP(9, Data_Source!$A$2:$BJ$1000, 62, FALSE)), "None"))</f>
        <v/>
      </c>
    </row>
    <row r="15" spans="2:8" ht="40" customHeight="1" x14ac:dyDescent="0.35">
      <c r="B15" s="25" t="str">
        <f>IF(ISERROR(MATCH(10, Data_Source!$A$2:$A$1000, 0)), "", IFERROR(VLOOKUP(10, Data_Source!$A$2:$BJ$1000, 3, FALSE) &amp; "", ""))</f>
        <v/>
      </c>
      <c r="C15" s="9" t="str">
        <f>IF($B$15="","", IFERROR(IF(VLOOKUP(10, Data_Source!$A$2:$BJ$1000, 4, FALSE)="","",VLOOKUP(10, Data_Source!$A$2:$BJ$1000, 4, FALSE)), "None"))</f>
        <v/>
      </c>
      <c r="D15" s="25" t="str">
        <f>IF($B$15="","", IFERROR(IF(VLOOKUP(10, Data_Source!$A$2:$BJ$1000, 5, FALSE)="","",VLOOKUP(10, Data_Source!$A$2:$BJ$1000, 5, FALSE)), "None"))</f>
        <v/>
      </c>
      <c r="E15" s="9" t="str">
        <f>IF($B$15="","", IFERROR(IF(VLOOKUP(10, Data_Source!$A$2:$BJ$1000, 21, FALSE)="","",VLOOKUP(10, Data_Source!$A$2:$BJ$1000, 21, FALSE)), "None"))</f>
        <v/>
      </c>
      <c r="F15" s="9" t="str">
        <f>IF($B$15="","", IFERROR(IF(VLOOKUP(10, Data_Source!$A$2:$BJ$1000, 27, FALSE)="","",VLOOKUP(10, Data_Source!$A$2:$BJ$1000, 27, FALSE)), "None"))</f>
        <v/>
      </c>
      <c r="G15" s="9" t="str">
        <f>IF($B$15="","", IFERROR(IF(VLOOKUP(10, Data_Source!$A$2:$BJ$1000, 28, FALSE)="","",VLOOKUP(10, Data_Source!$A$2:$BJ$1000, 28, FALSE)), "None"))</f>
        <v/>
      </c>
      <c r="H15" s="25" t="str">
        <f>IF($B$15="","", IFERROR(IF(VLOOKUP(10, Data_Source!$A$2:$BJ$1000, 62, FALSE)="","",VLOOKUP(10, Data_Source!$A$2:$BJ$1000, 62, FALSE)), "None"))</f>
        <v/>
      </c>
    </row>
    <row r="16" spans="2:8" ht="40" customHeight="1" x14ac:dyDescent="0.35">
      <c r="B16" s="24" t="str">
        <f>IF(ISERROR(MATCH(11, Data_Source!$A$2:$A$1000, 0)), "", IFERROR(VLOOKUP(11, Data_Source!$A$2:$BJ$1000, 3, FALSE) &amp; "", ""))</f>
        <v/>
      </c>
      <c r="C16" s="7" t="str">
        <f>IF($B$16="","", IFERROR(IF(VLOOKUP(11, Data_Source!$A$2:$BJ$1000, 4, FALSE)="","",VLOOKUP(11, Data_Source!$A$2:$BJ$1000, 4, FALSE)), "None"))</f>
        <v/>
      </c>
      <c r="D16" s="24" t="str">
        <f>IF($B$16="","", IFERROR(IF(VLOOKUP(11, Data_Source!$A$2:$BJ$1000, 5, FALSE)="","",VLOOKUP(11, Data_Source!$A$2:$BJ$1000, 5, FALSE)), "None"))</f>
        <v/>
      </c>
      <c r="E16" s="7" t="str">
        <f>IF($B$16="","", IFERROR(IF(VLOOKUP(11, Data_Source!$A$2:$BJ$1000, 21, FALSE)="","",VLOOKUP(11, Data_Source!$A$2:$BJ$1000, 21, FALSE)), "None"))</f>
        <v/>
      </c>
      <c r="F16" s="7" t="str">
        <f>IF($B$16="","", IFERROR(IF(VLOOKUP(11, Data_Source!$A$2:$BJ$1000, 27, FALSE)="","",VLOOKUP(11, Data_Source!$A$2:$BJ$1000, 27, FALSE)), "None"))</f>
        <v/>
      </c>
      <c r="G16" s="7" t="str">
        <f>IF($B$16="","", IFERROR(IF(VLOOKUP(11, Data_Source!$A$2:$BJ$1000, 28, FALSE)="","",VLOOKUP(11, Data_Source!$A$2:$BJ$1000, 28, FALSE)), "None"))</f>
        <v/>
      </c>
      <c r="H16" s="24" t="str">
        <f>IF($B$16="","", IFERROR(IF(VLOOKUP(11, Data_Source!$A$2:$BJ$1000, 62, FALSE)="","",VLOOKUP(11, Data_Source!$A$2:$BJ$1000, 62, FALSE)), "None"))</f>
        <v/>
      </c>
    </row>
    <row r="17" spans="2:8" ht="40" customHeight="1" x14ac:dyDescent="0.35">
      <c r="B17" s="25" t="str">
        <f>IF(ISERROR(MATCH(12, Data_Source!$A$2:$A$1000, 0)), "", IFERROR(VLOOKUP(12, Data_Source!$A$2:$BJ$1000, 3, FALSE) &amp; "", ""))</f>
        <v/>
      </c>
      <c r="C17" s="9" t="str">
        <f>IF($B$17="","", IFERROR(IF(VLOOKUP(12, Data_Source!$A$2:$BJ$1000, 4, FALSE)="","",VLOOKUP(12, Data_Source!$A$2:$BJ$1000, 4, FALSE)), "None"))</f>
        <v/>
      </c>
      <c r="D17" s="25" t="str">
        <f>IF($B$17="","", IFERROR(IF(VLOOKUP(12, Data_Source!$A$2:$BJ$1000, 5, FALSE)="","",VLOOKUP(12, Data_Source!$A$2:$BJ$1000, 5, FALSE)), "None"))</f>
        <v/>
      </c>
      <c r="E17" s="9" t="str">
        <f>IF($B$17="","", IFERROR(IF(VLOOKUP(12, Data_Source!$A$2:$BJ$1000, 21, FALSE)="","",VLOOKUP(12, Data_Source!$A$2:$BJ$1000, 21, FALSE)), "None"))</f>
        <v/>
      </c>
      <c r="F17" s="9" t="str">
        <f>IF($B$17="","", IFERROR(IF(VLOOKUP(12, Data_Source!$A$2:$BJ$1000, 27, FALSE)="","",VLOOKUP(12, Data_Source!$A$2:$BJ$1000, 27, FALSE)), "None"))</f>
        <v/>
      </c>
      <c r="G17" s="9" t="str">
        <f>IF($B$17="","", IFERROR(IF(VLOOKUP(12, Data_Source!$A$2:$BJ$1000, 28, FALSE)="","",VLOOKUP(12, Data_Source!$A$2:$BJ$1000, 28, FALSE)), "None"))</f>
        <v/>
      </c>
      <c r="H17" s="25" t="str">
        <f>IF($B$17="","", IFERROR(IF(VLOOKUP(12, Data_Source!$A$2:$BJ$1000, 62, FALSE)="","",VLOOKUP(12, Data_Source!$A$2:$BJ$1000, 62, FALSE)), "None"))</f>
        <v/>
      </c>
    </row>
    <row r="18" spans="2:8" ht="40" customHeight="1" x14ac:dyDescent="0.35">
      <c r="B18" s="24" t="str">
        <f>IF(ISERROR(MATCH(13, Data_Source!$A$2:$A$1000, 0)), "", IFERROR(VLOOKUP(13, Data_Source!$A$2:$BJ$1000, 3, FALSE) &amp; "", ""))</f>
        <v/>
      </c>
      <c r="C18" s="7" t="str">
        <f>IF($B$18="","", IFERROR(IF(VLOOKUP(13, Data_Source!$A$2:$BJ$1000, 4, FALSE)="","",VLOOKUP(13, Data_Source!$A$2:$BJ$1000, 4, FALSE)), "None"))</f>
        <v/>
      </c>
      <c r="D18" s="24" t="str">
        <f>IF($B$18="","", IFERROR(IF(VLOOKUP(13, Data_Source!$A$2:$BJ$1000, 5, FALSE)="","",VLOOKUP(13, Data_Source!$A$2:$BJ$1000, 5, FALSE)), "None"))</f>
        <v/>
      </c>
      <c r="E18" s="7" t="str">
        <f>IF($B$18="","", IFERROR(IF(VLOOKUP(13, Data_Source!$A$2:$BJ$1000, 21, FALSE)="","",VLOOKUP(13, Data_Source!$A$2:$BJ$1000, 21, FALSE)), "None"))</f>
        <v/>
      </c>
      <c r="F18" s="7" t="str">
        <f>IF($B$18="","", IFERROR(IF(VLOOKUP(13, Data_Source!$A$2:$BJ$1000, 27, FALSE)="","",VLOOKUP(13, Data_Source!$A$2:$BJ$1000, 27, FALSE)), "None"))</f>
        <v/>
      </c>
      <c r="G18" s="7" t="str">
        <f>IF($B$18="","", IFERROR(IF(VLOOKUP(13, Data_Source!$A$2:$BJ$1000, 28, FALSE)="","",VLOOKUP(13, Data_Source!$A$2:$BJ$1000, 28, FALSE)), "None"))</f>
        <v/>
      </c>
      <c r="H18" s="24" t="str">
        <f>IF($B$18="","", IFERROR(IF(VLOOKUP(13, Data_Source!$A$2:$BJ$1000, 62, FALSE)="","",VLOOKUP(13, Data_Source!$A$2:$BJ$1000, 62, FALSE)), "None"))</f>
        <v/>
      </c>
    </row>
    <row r="19" spans="2:8" ht="40" customHeight="1" x14ac:dyDescent="0.35">
      <c r="B19" s="25" t="str">
        <f>IF(ISERROR(MATCH(14, Data_Source!$A$2:$A$1000, 0)), "", IFERROR(VLOOKUP(14, Data_Source!$A$2:$BJ$1000, 3, FALSE) &amp; "", ""))</f>
        <v/>
      </c>
      <c r="C19" s="9" t="str">
        <f>IF($B$19="","", IFERROR(IF(VLOOKUP(14, Data_Source!$A$2:$BJ$1000, 4, FALSE)="","",VLOOKUP(14, Data_Source!$A$2:$BJ$1000, 4, FALSE)), "None"))</f>
        <v/>
      </c>
      <c r="D19" s="25" t="str">
        <f>IF($B$19="","", IFERROR(IF(VLOOKUP(14, Data_Source!$A$2:$BJ$1000, 5, FALSE)="","",VLOOKUP(14, Data_Source!$A$2:$BJ$1000, 5, FALSE)), "None"))</f>
        <v/>
      </c>
      <c r="E19" s="9" t="str">
        <f>IF($B$19="","", IFERROR(IF(VLOOKUP(14, Data_Source!$A$2:$BJ$1000, 21, FALSE)="","",VLOOKUP(14, Data_Source!$A$2:$BJ$1000, 21, FALSE)), "None"))</f>
        <v/>
      </c>
      <c r="F19" s="9" t="str">
        <f>IF($B$19="","", IFERROR(IF(VLOOKUP(14, Data_Source!$A$2:$BJ$1000, 27, FALSE)="","",VLOOKUP(14, Data_Source!$A$2:$BJ$1000, 27, FALSE)), "None"))</f>
        <v/>
      </c>
      <c r="G19" s="9" t="str">
        <f>IF($B$19="","", IFERROR(IF(VLOOKUP(14, Data_Source!$A$2:$BJ$1000, 28, FALSE)="","",VLOOKUP(14, Data_Source!$A$2:$BJ$1000, 28, FALSE)), "None"))</f>
        <v/>
      </c>
      <c r="H19" s="25" t="str">
        <f>IF($B$19="","", IFERROR(IF(VLOOKUP(14, Data_Source!$A$2:$BJ$1000, 62, FALSE)="","",VLOOKUP(14, Data_Source!$A$2:$BJ$1000, 62, FALSE)), "None"))</f>
        <v/>
      </c>
    </row>
    <row r="20" spans="2:8" ht="40" customHeight="1" x14ac:dyDescent="0.35">
      <c r="B20" s="24" t="str">
        <f>IF(ISERROR(MATCH(15, Data_Source!$A$2:$A$1000, 0)), "", IFERROR(VLOOKUP(15, Data_Source!$A$2:$BJ$1000, 3, FALSE) &amp; "", ""))</f>
        <v/>
      </c>
      <c r="C20" s="7" t="str">
        <f>IF($B$20="","", IFERROR(IF(VLOOKUP(15, Data_Source!$A$2:$BJ$1000, 4, FALSE)="","",VLOOKUP(15, Data_Source!$A$2:$BJ$1000, 4, FALSE)), "None"))</f>
        <v/>
      </c>
      <c r="D20" s="24" t="str">
        <f>IF($B$20="","", IFERROR(IF(VLOOKUP(15, Data_Source!$A$2:$BJ$1000, 5, FALSE)="","",VLOOKUP(15, Data_Source!$A$2:$BJ$1000, 5, FALSE)), "None"))</f>
        <v/>
      </c>
      <c r="E20" s="7" t="str">
        <f>IF($B$20="","", IFERROR(IF(VLOOKUP(15, Data_Source!$A$2:$BJ$1000, 21, FALSE)="","",VLOOKUP(15, Data_Source!$A$2:$BJ$1000, 21, FALSE)), "None"))</f>
        <v/>
      </c>
      <c r="F20" s="7" t="str">
        <f>IF($B$20="","", IFERROR(IF(VLOOKUP(15, Data_Source!$A$2:$BJ$1000, 27, FALSE)="","",VLOOKUP(15, Data_Source!$A$2:$BJ$1000, 27, FALSE)), "None"))</f>
        <v/>
      </c>
      <c r="G20" s="7" t="str">
        <f>IF($B$20="","", IFERROR(IF(VLOOKUP(15, Data_Source!$A$2:$BJ$1000, 28, FALSE)="","",VLOOKUP(15, Data_Source!$A$2:$BJ$1000, 28, FALSE)), "None"))</f>
        <v/>
      </c>
      <c r="H20" s="24" t="str">
        <f>IF($B$20="","", IFERROR(IF(VLOOKUP(15, Data_Source!$A$2:$BJ$1000, 62, FALSE)="","",VLOOKUP(15, Data_Source!$A$2:$BJ$1000, 62, FALSE)), "None"))</f>
        <v/>
      </c>
    </row>
    <row r="21" spans="2:8" ht="40" customHeight="1" x14ac:dyDescent="0.35">
      <c r="B21" s="25" t="str">
        <f>IF(ISERROR(MATCH(16, Data_Source!$A$2:$A$1000, 0)), "", IFERROR(VLOOKUP(16, Data_Source!$A$2:$BJ$1000, 3, FALSE) &amp; "", ""))</f>
        <v/>
      </c>
      <c r="C21" s="9" t="str">
        <f>IF($B$21="","", IFERROR(IF(VLOOKUP(16, Data_Source!$A$2:$BJ$1000, 4, FALSE)="","",VLOOKUP(16, Data_Source!$A$2:$BJ$1000, 4, FALSE)), "None"))</f>
        <v/>
      </c>
      <c r="D21" s="25" t="str">
        <f>IF($B$21="","", IFERROR(IF(VLOOKUP(16, Data_Source!$A$2:$BJ$1000, 5, FALSE)="","",VLOOKUP(16, Data_Source!$A$2:$BJ$1000, 5, FALSE)), "None"))</f>
        <v/>
      </c>
      <c r="E21" s="9" t="str">
        <f>IF($B$21="","", IFERROR(IF(VLOOKUP(16, Data_Source!$A$2:$BJ$1000, 21, FALSE)="","",VLOOKUP(16, Data_Source!$A$2:$BJ$1000, 21, FALSE)), "None"))</f>
        <v/>
      </c>
      <c r="F21" s="9" t="str">
        <f>IF($B$21="","", IFERROR(IF(VLOOKUP(16, Data_Source!$A$2:$BJ$1000, 27, FALSE)="","",VLOOKUP(16, Data_Source!$A$2:$BJ$1000, 27, FALSE)), "None"))</f>
        <v/>
      </c>
      <c r="G21" s="9" t="str">
        <f>IF($B$21="","", IFERROR(IF(VLOOKUP(16, Data_Source!$A$2:$BJ$1000, 28, FALSE)="","",VLOOKUP(16, Data_Source!$A$2:$BJ$1000, 28, FALSE)), "None"))</f>
        <v/>
      </c>
      <c r="H21" s="25" t="str">
        <f>IF($B$21="","", IFERROR(IF(VLOOKUP(16, Data_Source!$A$2:$BJ$1000, 62, FALSE)="","",VLOOKUP(16, Data_Source!$A$2:$BJ$1000, 62, FALSE)), "None"))</f>
        <v/>
      </c>
    </row>
    <row r="22" spans="2:8" ht="40" customHeight="1" x14ac:dyDescent="0.35">
      <c r="B22" s="24" t="str">
        <f>IF(ISERROR(MATCH(17, Data_Source!$A$2:$A$1000, 0)), "", IFERROR(VLOOKUP(17, Data_Source!$A$2:$BJ$1000, 3, FALSE) &amp; "", ""))</f>
        <v/>
      </c>
      <c r="C22" s="7" t="str">
        <f>IF($B$22="","", IFERROR(IF(VLOOKUP(17, Data_Source!$A$2:$BJ$1000, 4, FALSE)="","",VLOOKUP(17, Data_Source!$A$2:$BJ$1000, 4, FALSE)), "None"))</f>
        <v/>
      </c>
      <c r="D22" s="24" t="str">
        <f>IF($B$22="","", IFERROR(IF(VLOOKUP(17, Data_Source!$A$2:$BJ$1000, 5, FALSE)="","",VLOOKUP(17, Data_Source!$A$2:$BJ$1000, 5, FALSE)), "None"))</f>
        <v/>
      </c>
      <c r="E22" s="7" t="str">
        <f>IF($B$22="","", IFERROR(IF(VLOOKUP(17, Data_Source!$A$2:$BJ$1000, 21, FALSE)="","",VLOOKUP(17, Data_Source!$A$2:$BJ$1000, 21, FALSE)), "None"))</f>
        <v/>
      </c>
      <c r="F22" s="7" t="str">
        <f>IF($B$22="","", IFERROR(IF(VLOOKUP(17, Data_Source!$A$2:$BJ$1000, 27, FALSE)="","",VLOOKUP(17, Data_Source!$A$2:$BJ$1000, 27, FALSE)), "None"))</f>
        <v/>
      </c>
      <c r="G22" s="7" t="str">
        <f>IF($B$22="","", IFERROR(IF(VLOOKUP(17, Data_Source!$A$2:$BJ$1000, 28, FALSE)="","",VLOOKUP(17, Data_Source!$A$2:$BJ$1000, 28, FALSE)), "None"))</f>
        <v/>
      </c>
      <c r="H22" s="24" t="str">
        <f>IF($B$22="","", IFERROR(IF(VLOOKUP(17, Data_Source!$A$2:$BJ$1000, 62, FALSE)="","",VLOOKUP(17, Data_Source!$A$2:$BJ$1000, 62, FALSE)), "None"))</f>
        <v/>
      </c>
    </row>
    <row r="23" spans="2:8" ht="40" customHeight="1" x14ac:dyDescent="0.35">
      <c r="B23" s="25" t="str">
        <f>IF(ISERROR(MATCH(18, Data_Source!$A$2:$A$1000, 0)), "", IFERROR(VLOOKUP(18, Data_Source!$A$2:$BJ$1000, 3, FALSE) &amp; "", ""))</f>
        <v/>
      </c>
      <c r="C23" s="9" t="str">
        <f>IF($B$23="","", IFERROR(IF(VLOOKUP(18, Data_Source!$A$2:$BJ$1000, 4, FALSE)="","",VLOOKUP(18, Data_Source!$A$2:$BJ$1000, 4, FALSE)), "None"))</f>
        <v/>
      </c>
      <c r="D23" s="25" t="str">
        <f>IF($B$23="","", IFERROR(IF(VLOOKUP(18, Data_Source!$A$2:$BJ$1000, 5, FALSE)="","",VLOOKUP(18, Data_Source!$A$2:$BJ$1000, 5, FALSE)), "None"))</f>
        <v/>
      </c>
      <c r="E23" s="9" t="str">
        <f>IF($B$23="","", IFERROR(IF(VLOOKUP(18, Data_Source!$A$2:$BJ$1000, 21, FALSE)="","",VLOOKUP(18, Data_Source!$A$2:$BJ$1000, 21, FALSE)), "None"))</f>
        <v/>
      </c>
      <c r="F23" s="9" t="str">
        <f>IF($B$23="","", IFERROR(IF(VLOOKUP(18, Data_Source!$A$2:$BJ$1000, 27, FALSE)="","",VLOOKUP(18, Data_Source!$A$2:$BJ$1000, 27, FALSE)), "None"))</f>
        <v/>
      </c>
      <c r="G23" s="9" t="str">
        <f>IF($B$23="","", IFERROR(IF(VLOOKUP(18, Data_Source!$A$2:$BJ$1000, 28, FALSE)="","",VLOOKUP(18, Data_Source!$A$2:$BJ$1000, 28, FALSE)), "None"))</f>
        <v/>
      </c>
      <c r="H23" s="25" t="str">
        <f>IF($B$23="","", IFERROR(IF(VLOOKUP(18, Data_Source!$A$2:$BJ$1000, 62, FALSE)="","",VLOOKUP(18, Data_Source!$A$2:$BJ$1000, 62, FALSE)), "None"))</f>
        <v/>
      </c>
    </row>
    <row r="24" spans="2:8" ht="40" customHeight="1" x14ac:dyDescent="0.35">
      <c r="B24" s="24" t="str">
        <f>IF(ISERROR(MATCH(19, Data_Source!$A$2:$A$1000, 0)), "", IFERROR(VLOOKUP(19, Data_Source!$A$2:$BJ$1000, 3, FALSE) &amp; "", ""))</f>
        <v/>
      </c>
      <c r="C24" s="7" t="str">
        <f>IF($B$24="","", IFERROR(IF(VLOOKUP(19, Data_Source!$A$2:$BJ$1000, 4, FALSE)="","",VLOOKUP(19, Data_Source!$A$2:$BJ$1000, 4, FALSE)), "None"))</f>
        <v/>
      </c>
      <c r="D24" s="24" t="str">
        <f>IF($B$24="","", IFERROR(IF(VLOOKUP(19, Data_Source!$A$2:$BJ$1000, 5, FALSE)="","",VLOOKUP(19, Data_Source!$A$2:$BJ$1000, 5, FALSE)), "None"))</f>
        <v/>
      </c>
      <c r="E24" s="7" t="str">
        <f>IF($B$24="","", IFERROR(IF(VLOOKUP(19, Data_Source!$A$2:$BJ$1000, 21, FALSE)="","",VLOOKUP(19, Data_Source!$A$2:$BJ$1000, 21, FALSE)), "None"))</f>
        <v/>
      </c>
      <c r="F24" s="7" t="str">
        <f>IF($B$24="","", IFERROR(IF(VLOOKUP(19, Data_Source!$A$2:$BJ$1000, 27, FALSE)="","",VLOOKUP(19, Data_Source!$A$2:$BJ$1000, 27, FALSE)), "None"))</f>
        <v/>
      </c>
      <c r="G24" s="7" t="str">
        <f>IF($B$24="","", IFERROR(IF(VLOOKUP(19, Data_Source!$A$2:$BJ$1000, 28, FALSE)="","",VLOOKUP(19, Data_Source!$A$2:$BJ$1000, 28, FALSE)), "None"))</f>
        <v/>
      </c>
      <c r="H24" s="24" t="str">
        <f>IF($B$24="","", IFERROR(IF(VLOOKUP(19, Data_Source!$A$2:$BJ$1000, 62, FALSE)="","",VLOOKUP(19, Data_Source!$A$2:$BJ$1000, 62, FALSE)), "None"))</f>
        <v/>
      </c>
    </row>
    <row r="25" spans="2:8" ht="40" customHeight="1" x14ac:dyDescent="0.35">
      <c r="B25" s="25" t="str">
        <f>IF(ISERROR(MATCH(20, Data_Source!$A$2:$A$1000, 0)), "", IFERROR(VLOOKUP(20, Data_Source!$A$2:$BJ$1000, 3, FALSE) &amp; "", ""))</f>
        <v/>
      </c>
      <c r="C25" s="9" t="str">
        <f>IF($B$25="","", IFERROR(IF(VLOOKUP(20, Data_Source!$A$2:$BJ$1000, 4, FALSE)="","",VLOOKUP(20, Data_Source!$A$2:$BJ$1000, 4, FALSE)), "None"))</f>
        <v/>
      </c>
      <c r="D25" s="25" t="str">
        <f>IF($B$25="","", IFERROR(IF(VLOOKUP(20, Data_Source!$A$2:$BJ$1000, 5, FALSE)="","",VLOOKUP(20, Data_Source!$A$2:$BJ$1000, 5, FALSE)), "None"))</f>
        <v/>
      </c>
      <c r="E25" s="9" t="str">
        <f>IF($B$25="","", IFERROR(IF(VLOOKUP(20, Data_Source!$A$2:$BJ$1000, 21, FALSE)="","",VLOOKUP(20, Data_Source!$A$2:$BJ$1000, 21, FALSE)), "None"))</f>
        <v/>
      </c>
      <c r="F25" s="9" t="str">
        <f>IF($B$25="","", IFERROR(IF(VLOOKUP(20, Data_Source!$A$2:$BJ$1000, 27, FALSE)="","",VLOOKUP(20, Data_Source!$A$2:$BJ$1000, 27, FALSE)), "None"))</f>
        <v/>
      </c>
      <c r="G25" s="9" t="str">
        <f>IF($B$25="","", IFERROR(IF(VLOOKUP(20, Data_Source!$A$2:$BJ$1000, 28, FALSE)="","",VLOOKUP(20, Data_Source!$A$2:$BJ$1000, 28, FALSE)), "None"))</f>
        <v/>
      </c>
      <c r="H25" s="25" t="str">
        <f>IF($B$25="","", IFERROR(IF(VLOOKUP(20, Data_Source!$A$2:$BJ$1000, 62, FALSE)="","",VLOOKUP(20, Data_Source!$A$2:$BJ$1000, 62, FALSE)), "None"))</f>
        <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Data_Source</vt:lpstr>
      <vt:lpstr>Bộ lọc Giảng viên</vt:lpstr>
      <vt:lpstr>Dashboard Giảng viên</vt:lpstr>
      <vt:lpstr>Thống kê PLO</vt:lpstr>
      <vt:lpstr>Góp ý Giảng viên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Loi Cao</cp:lastModifiedBy>
  <dcterms:created xsi:type="dcterms:W3CDTF">2026-06-16T02:40:50Z</dcterms:created>
  <dcterms:modified xsi:type="dcterms:W3CDTF">2026-06-16T02:40:51Z</dcterms:modified>
</cp:coreProperties>
</file>