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cdloi\Desktop\khaosatCTDT\"/>
    </mc:Choice>
  </mc:AlternateContent>
  <xr:revisionPtr revIDLastSave="0" documentId="8_{FBDBC2BD-D067-4591-BB38-DF8BD64F1818}" xr6:coauthVersionLast="47" xr6:coauthVersionMax="47" xr10:uidLastSave="{00000000-0000-0000-0000-000000000000}"/>
  <bookViews>
    <workbookView xWindow="-110" yWindow="-110" windowWidth="25820" windowHeight="15500" xr2:uid="{00000000-000D-0000-FFFF-FFFF00000000}"/>
  </bookViews>
  <sheets>
    <sheet name="Data_Source" sheetId="1" r:id="rId1"/>
    <sheet name="Bộ lọc theo Ngành" sheetId="2" r:id="rId2"/>
    <sheet name="Dashboard Tổng Quan" sheetId="3" r:id="rId3"/>
    <sheet name="Thống kê PLO" sheetId="4" r:id="rId4"/>
    <sheet name="Góp ý &amp; Kiến nghị"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5" l="1"/>
  <c r="G28" i="3"/>
  <c r="F28" i="3"/>
  <c r="G27" i="3"/>
  <c r="G26" i="3"/>
  <c r="C26" i="3"/>
  <c r="G25" i="3"/>
  <c r="G24" i="3"/>
  <c r="G23" i="3"/>
  <c r="G18" i="3"/>
  <c r="F18" i="3"/>
  <c r="G17" i="3"/>
  <c r="G16" i="3"/>
  <c r="G15" i="3"/>
  <c r="G14" i="3"/>
  <c r="G13" i="3"/>
  <c r="G12" i="3"/>
  <c r="C36" i="2"/>
  <c r="C35" i="2"/>
  <c r="C34" i="2"/>
  <c r="C33" i="2"/>
  <c r="C27" i="2"/>
  <c r="C26" i="2"/>
  <c r="F25" i="2"/>
  <c r="C25" i="2"/>
  <c r="F24" i="2"/>
  <c r="C24" i="2"/>
  <c r="F23" i="2"/>
  <c r="C23" i="2"/>
  <c r="F22" i="2"/>
  <c r="C22" i="2"/>
  <c r="F21" i="2"/>
  <c r="C21" i="2"/>
  <c r="F20" i="2"/>
  <c r="C20" i="2"/>
  <c r="F19" i="2"/>
  <c r="C19" i="2"/>
  <c r="F18" i="2"/>
  <c r="C18" i="2"/>
  <c r="F17" i="2"/>
  <c r="C17" i="2"/>
  <c r="F16" i="2"/>
  <c r="C16" i="2"/>
  <c r="F15" i="2"/>
  <c r="C15" i="2"/>
  <c r="F14" i="2"/>
  <c r="C14" i="2"/>
  <c r="C28" i="2" s="1"/>
  <c r="H7" i="2"/>
  <c r="F7" i="2"/>
  <c r="D7" i="2"/>
  <c r="B7" i="2"/>
  <c r="A36" i="1"/>
  <c r="A35" i="1"/>
  <c r="A34" i="1"/>
  <c r="A33" i="1"/>
  <c r="A32" i="1"/>
  <c r="A31" i="1"/>
  <c r="A30" i="1"/>
  <c r="A29" i="1"/>
  <c r="A28" i="1"/>
  <c r="A27" i="1"/>
  <c r="A26" i="1"/>
  <c r="A25" i="1"/>
  <c r="A24" i="1"/>
  <c r="A23" i="1"/>
  <c r="A22" i="1"/>
  <c r="A21" i="1"/>
  <c r="A20" i="1"/>
  <c r="A19" i="1"/>
  <c r="A18" i="1"/>
  <c r="A17" i="1"/>
  <c r="A16" i="1"/>
  <c r="A15" i="1"/>
  <c r="A14" i="1"/>
  <c r="A13" i="1"/>
  <c r="A12" i="1"/>
  <c r="A11" i="1"/>
  <c r="A9" i="1"/>
  <c r="A8" i="1"/>
  <c r="A7" i="1"/>
  <c r="A6" i="1"/>
  <c r="A5" i="1"/>
  <c r="A4" i="1"/>
  <c r="A3" i="1"/>
  <c r="A2" i="1"/>
  <c r="A10" i="1" l="1"/>
  <c r="C102" i="2" s="1"/>
  <c r="E66" i="2"/>
  <c r="B36" i="5"/>
  <c r="B12" i="5"/>
  <c r="C235" i="2"/>
  <c r="E222" i="2"/>
  <c r="C210" i="2"/>
  <c r="E199" i="2"/>
  <c r="C187" i="2"/>
  <c r="E151" i="2"/>
  <c r="B149" i="2"/>
  <c r="C139" i="2"/>
  <c r="E126" i="2"/>
  <c r="E103" i="2"/>
  <c r="E78" i="2"/>
  <c r="C66" i="2"/>
  <c r="E55" i="2"/>
  <c r="B53" i="2"/>
  <c r="C43" i="2"/>
  <c r="B37" i="5"/>
  <c r="B21" i="5"/>
  <c r="B13" i="5"/>
  <c r="C240" i="2"/>
  <c r="E229" i="2"/>
  <c r="B227" i="2"/>
  <c r="C217" i="2"/>
  <c r="E204" i="2"/>
  <c r="E181" i="2"/>
  <c r="B179" i="2"/>
  <c r="C169" i="2"/>
  <c r="E156" i="2"/>
  <c r="C144" i="2"/>
  <c r="E133" i="2"/>
  <c r="B131" i="2"/>
  <c r="E108" i="2"/>
  <c r="C96" i="2"/>
  <c r="E85" i="2"/>
  <c r="B83" i="2"/>
  <c r="C73" i="2"/>
  <c r="E60" i="2"/>
  <c r="C48" i="2"/>
  <c r="B38" i="5"/>
  <c r="B30" i="5"/>
  <c r="B22" i="5"/>
  <c r="B14" i="5"/>
  <c r="C247" i="2"/>
  <c r="E234" i="2"/>
  <c r="C222" i="2"/>
  <c r="E211" i="2"/>
  <c r="B209" i="2"/>
  <c r="C199" i="2"/>
  <c r="E186" i="2"/>
  <c r="C174" i="2"/>
  <c r="E163" i="2"/>
  <c r="B161" i="2"/>
  <c r="C151" i="2"/>
  <c r="E138" i="2"/>
  <c r="C126" i="2"/>
  <c r="E115" i="2"/>
  <c r="B113" i="2"/>
  <c r="C103" i="2"/>
  <c r="E90" i="2"/>
  <c r="C78" i="2"/>
  <c r="E67" i="2"/>
  <c r="B65" i="2"/>
  <c r="C55" i="2"/>
  <c r="E42" i="2"/>
  <c r="B39" i="5"/>
  <c r="B31" i="5"/>
  <c r="B23" i="5"/>
  <c r="B15" i="5"/>
  <c r="E241" i="2"/>
  <c r="B239" i="2"/>
  <c r="C229" i="2"/>
  <c r="E216" i="2"/>
  <c r="C204" i="2"/>
  <c r="E193" i="2"/>
  <c r="B191" i="2"/>
  <c r="C181" i="2"/>
  <c r="E168" i="2"/>
  <c r="C156" i="2"/>
  <c r="E145" i="2"/>
  <c r="B143" i="2"/>
  <c r="C133" i="2"/>
  <c r="E120" i="2"/>
  <c r="C108" i="2"/>
  <c r="E97" i="2"/>
  <c r="B95" i="2"/>
  <c r="C85" i="2"/>
  <c r="E72" i="2"/>
  <c r="C60" i="2"/>
  <c r="E49" i="2"/>
  <c r="B47" i="2"/>
  <c r="B40" i="5"/>
  <c r="B32" i="5"/>
  <c r="B24" i="5"/>
  <c r="B16" i="5"/>
  <c r="B8" i="5"/>
  <c r="E246" i="2"/>
  <c r="C234" i="2"/>
  <c r="E223" i="2"/>
  <c r="B221" i="2"/>
  <c r="C211" i="2"/>
  <c r="E198" i="2"/>
  <c r="C186" i="2"/>
  <c r="E175" i="2"/>
  <c r="B173" i="2"/>
  <c r="C163" i="2"/>
  <c r="E150" i="2"/>
  <c r="C138" i="2"/>
  <c r="E127" i="2"/>
  <c r="B125" i="2"/>
  <c r="C115" i="2"/>
  <c r="E102" i="2"/>
  <c r="C90" i="2"/>
  <c r="E79" i="2"/>
  <c r="B77" i="2"/>
  <c r="C67" i="2"/>
  <c r="E54" i="2"/>
  <c r="C42" i="2"/>
  <c r="B41" i="5"/>
  <c r="B33" i="5"/>
  <c r="B25" i="5"/>
  <c r="B17" i="5"/>
  <c r="B9" i="5"/>
  <c r="C241" i="2"/>
  <c r="E228" i="2"/>
  <c r="C216" i="2"/>
  <c r="E205" i="2"/>
  <c r="B203" i="2"/>
  <c r="C193" i="2"/>
  <c r="E180" i="2"/>
  <c r="C168" i="2"/>
  <c r="E157" i="2"/>
  <c r="B155" i="2"/>
  <c r="C145" i="2"/>
  <c r="E132" i="2"/>
  <c r="C120" i="2"/>
  <c r="E109" i="2"/>
  <c r="B107" i="2"/>
  <c r="C97" i="2"/>
  <c r="E84" i="2"/>
  <c r="C72" i="2"/>
  <c r="E61" i="2"/>
  <c r="B59" i="2"/>
  <c r="C49" i="2"/>
  <c r="C175" i="2"/>
  <c r="B137" i="2"/>
  <c r="B42" i="5"/>
  <c r="B34" i="5"/>
  <c r="B26" i="5"/>
  <c r="B18" i="5"/>
  <c r="B10" i="5"/>
  <c r="C246" i="2"/>
  <c r="E235" i="2"/>
  <c r="B233" i="2"/>
  <c r="C223" i="2"/>
  <c r="E210" i="2"/>
  <c r="C198" i="2"/>
  <c r="E187" i="2"/>
  <c r="B185" i="2"/>
  <c r="E162" i="2"/>
  <c r="C150" i="2"/>
  <c r="E139" i="2"/>
  <c r="C127" i="2"/>
  <c r="E114" i="2"/>
  <c r="B35" i="5"/>
  <c r="B27" i="5"/>
  <c r="B19" i="5"/>
  <c r="B11" i="5"/>
  <c r="E240" i="2"/>
  <c r="C228" i="2"/>
  <c r="E217" i="2"/>
  <c r="B215" i="2"/>
  <c r="C205" i="2"/>
  <c r="E192" i="2"/>
  <c r="C180" i="2"/>
  <c r="E169" i="2"/>
  <c r="B167" i="2"/>
  <c r="C157" i="2"/>
  <c r="E144" i="2"/>
  <c r="C132" i="2"/>
  <c r="E121" i="2"/>
  <c r="B119" i="2"/>
  <c r="C109" i="2"/>
  <c r="E96" i="2"/>
  <c r="C84" i="2"/>
  <c r="E73" i="2"/>
  <c r="B71" i="2"/>
  <c r="C61" i="2"/>
  <c r="E48" i="2"/>
  <c r="B41" i="2"/>
  <c r="E43" i="2"/>
  <c r="C79" i="2"/>
  <c r="D121" i="2" l="1"/>
  <c r="B121" i="2"/>
  <c r="D120" i="2"/>
  <c r="B123" i="2"/>
  <c r="B122" i="2"/>
  <c r="B120" i="2"/>
  <c r="H27" i="5"/>
  <c r="G27" i="5"/>
  <c r="F27" i="5"/>
  <c r="E27" i="5"/>
  <c r="D27" i="5"/>
  <c r="C27" i="5"/>
  <c r="F24" i="5"/>
  <c r="E24" i="5"/>
  <c r="D24" i="5"/>
  <c r="C24" i="5"/>
  <c r="H24" i="5"/>
  <c r="G24" i="5"/>
  <c r="H35" i="5"/>
  <c r="G35" i="5"/>
  <c r="F35" i="5"/>
  <c r="E35" i="5"/>
  <c r="D35" i="5"/>
  <c r="C35" i="5"/>
  <c r="B28" i="5"/>
  <c r="B43" i="2"/>
  <c r="D42" i="2"/>
  <c r="B45" i="2"/>
  <c r="B44" i="2"/>
  <c r="B42" i="2"/>
  <c r="D43" i="2"/>
  <c r="H18" i="5"/>
  <c r="G18" i="5"/>
  <c r="F18" i="5"/>
  <c r="E18" i="5"/>
  <c r="D18" i="5"/>
  <c r="C18" i="5"/>
  <c r="D126" i="2"/>
  <c r="B129" i="2"/>
  <c r="B128" i="2"/>
  <c r="B126" i="2"/>
  <c r="D127" i="2"/>
  <c r="B127" i="2"/>
  <c r="D96" i="2"/>
  <c r="B99" i="2"/>
  <c r="B98" i="2"/>
  <c r="B96" i="2"/>
  <c r="D97" i="2"/>
  <c r="B97" i="2"/>
  <c r="H26" i="5"/>
  <c r="G26" i="5"/>
  <c r="F26" i="5"/>
  <c r="E26" i="5"/>
  <c r="D26" i="5"/>
  <c r="C26" i="5"/>
  <c r="B157" i="2"/>
  <c r="D156" i="2"/>
  <c r="B159" i="2"/>
  <c r="B158" i="2"/>
  <c r="B156" i="2"/>
  <c r="D157" i="2"/>
  <c r="F32" i="5"/>
  <c r="E32" i="5"/>
  <c r="D32" i="5"/>
  <c r="C32" i="5"/>
  <c r="H32" i="5"/>
  <c r="G32" i="5"/>
  <c r="E15" i="5"/>
  <c r="D15" i="5"/>
  <c r="C15" i="5"/>
  <c r="H15" i="5"/>
  <c r="G15" i="5"/>
  <c r="F15" i="5"/>
  <c r="B165" i="2"/>
  <c r="B164" i="2"/>
  <c r="B162" i="2"/>
  <c r="D163" i="2"/>
  <c r="B163" i="2"/>
  <c r="D162" i="2"/>
  <c r="B230" i="2"/>
  <c r="B228" i="2"/>
  <c r="D229" i="2"/>
  <c r="B229" i="2"/>
  <c r="D228" i="2"/>
  <c r="B231" i="2"/>
  <c r="D55" i="2"/>
  <c r="B55" i="2"/>
  <c r="D54" i="2"/>
  <c r="B56" i="2"/>
  <c r="B54" i="2"/>
  <c r="B57" i="2"/>
  <c r="D217" i="2"/>
  <c r="B217" i="2"/>
  <c r="D216" i="2"/>
  <c r="B219" i="2"/>
  <c r="B218" i="2"/>
  <c r="B216" i="2"/>
  <c r="H34" i="5"/>
  <c r="G34" i="5"/>
  <c r="F34" i="5"/>
  <c r="E34" i="5"/>
  <c r="D34" i="5"/>
  <c r="C34" i="5"/>
  <c r="D222" i="2"/>
  <c r="B225" i="2"/>
  <c r="B224" i="2"/>
  <c r="B222" i="2"/>
  <c r="D223" i="2"/>
  <c r="B223" i="2"/>
  <c r="F40" i="5"/>
  <c r="E40" i="5"/>
  <c r="D40" i="5"/>
  <c r="C40" i="5"/>
  <c r="H40" i="5"/>
  <c r="G40" i="5"/>
  <c r="D192" i="2"/>
  <c r="B195" i="2"/>
  <c r="B194" i="2"/>
  <c r="B192" i="2"/>
  <c r="D193" i="2"/>
  <c r="B193" i="2"/>
  <c r="E23" i="5"/>
  <c r="D23" i="5"/>
  <c r="C23" i="5"/>
  <c r="H23" i="5"/>
  <c r="G23" i="5"/>
  <c r="F23" i="5"/>
  <c r="B86" i="2"/>
  <c r="B84" i="2"/>
  <c r="D85" i="2"/>
  <c r="B85" i="2"/>
  <c r="B87" i="2"/>
  <c r="D84" i="2"/>
  <c r="H36" i="5"/>
  <c r="G36" i="5"/>
  <c r="F36" i="5"/>
  <c r="E36" i="5"/>
  <c r="D36" i="5"/>
  <c r="C36" i="5"/>
  <c r="H42" i="5"/>
  <c r="G42" i="5"/>
  <c r="F42" i="5"/>
  <c r="E42" i="5"/>
  <c r="D42" i="5"/>
  <c r="C42" i="5"/>
  <c r="D73" i="2"/>
  <c r="B73" i="2"/>
  <c r="D72" i="2"/>
  <c r="B75" i="2"/>
  <c r="B74" i="2"/>
  <c r="B72" i="2"/>
  <c r="D78" i="2"/>
  <c r="B81" i="2"/>
  <c r="B80" i="2"/>
  <c r="B78" i="2"/>
  <c r="D79" i="2"/>
  <c r="B79" i="2"/>
  <c r="E31" i="5"/>
  <c r="D31" i="5"/>
  <c r="C31" i="5"/>
  <c r="H31" i="5"/>
  <c r="G31" i="5"/>
  <c r="F31" i="5"/>
  <c r="G9" i="5"/>
  <c r="F9" i="5"/>
  <c r="E9" i="5"/>
  <c r="D9" i="5"/>
  <c r="C9" i="5"/>
  <c r="H9" i="5"/>
  <c r="D48" i="2"/>
  <c r="B51" i="2"/>
  <c r="B50" i="2"/>
  <c r="B48" i="2"/>
  <c r="D49" i="2"/>
  <c r="B49" i="2"/>
  <c r="D151" i="2"/>
  <c r="B151" i="2"/>
  <c r="D150" i="2"/>
  <c r="B153" i="2"/>
  <c r="B152" i="2"/>
  <c r="B150" i="2"/>
  <c r="B139" i="2"/>
  <c r="D138" i="2"/>
  <c r="B141" i="2"/>
  <c r="B140" i="2"/>
  <c r="B138" i="2"/>
  <c r="D139" i="2"/>
  <c r="G17" i="5"/>
  <c r="F17" i="5"/>
  <c r="E17" i="5"/>
  <c r="D17" i="5"/>
  <c r="C17" i="5"/>
  <c r="H17" i="5"/>
  <c r="E39" i="5"/>
  <c r="D39" i="5"/>
  <c r="C39" i="5"/>
  <c r="H39" i="5"/>
  <c r="G39" i="5"/>
  <c r="F39" i="5"/>
  <c r="D22" i="5"/>
  <c r="C22" i="5"/>
  <c r="H22" i="5"/>
  <c r="G22" i="5"/>
  <c r="F22" i="5"/>
  <c r="E22" i="5"/>
  <c r="B182" i="2"/>
  <c r="B180" i="2"/>
  <c r="D181" i="2"/>
  <c r="B181" i="2"/>
  <c r="D180" i="2"/>
  <c r="B183" i="2"/>
  <c r="C13" i="5"/>
  <c r="H13" i="5"/>
  <c r="G13" i="5"/>
  <c r="F13" i="5"/>
  <c r="E13" i="5"/>
  <c r="D13" i="5"/>
  <c r="D169" i="2"/>
  <c r="B169" i="2"/>
  <c r="D168" i="2"/>
  <c r="B171" i="2"/>
  <c r="B170" i="2"/>
  <c r="B168" i="2"/>
  <c r="G25" i="5"/>
  <c r="F25" i="5"/>
  <c r="E25" i="5"/>
  <c r="D25" i="5"/>
  <c r="C25" i="5"/>
  <c r="H25" i="5"/>
  <c r="D174" i="2"/>
  <c r="B177" i="2"/>
  <c r="B176" i="2"/>
  <c r="B174" i="2"/>
  <c r="D175" i="2"/>
  <c r="B175" i="2"/>
  <c r="D144" i="2"/>
  <c r="B147" i="2"/>
  <c r="B146" i="2"/>
  <c r="B144" i="2"/>
  <c r="D145" i="2"/>
  <c r="B145" i="2"/>
  <c r="D30" i="5"/>
  <c r="C30" i="5"/>
  <c r="H30" i="5"/>
  <c r="G30" i="5"/>
  <c r="F30" i="5"/>
  <c r="E30" i="5"/>
  <c r="C21" i="5"/>
  <c r="H21" i="5"/>
  <c r="G21" i="5"/>
  <c r="F21" i="5"/>
  <c r="E21" i="5"/>
  <c r="D21" i="5"/>
  <c r="C91" i="2"/>
  <c r="C162" i="2"/>
  <c r="B245" i="2"/>
  <c r="E91" i="2"/>
  <c r="D14" i="5"/>
  <c r="C14" i="5"/>
  <c r="H14" i="5"/>
  <c r="G14" i="5"/>
  <c r="F14" i="5"/>
  <c r="E14" i="5"/>
  <c r="B235" i="2"/>
  <c r="D234" i="2"/>
  <c r="B237" i="2"/>
  <c r="B236" i="2"/>
  <c r="B234" i="2"/>
  <c r="D235" i="2"/>
  <c r="B109" i="2"/>
  <c r="D108" i="2"/>
  <c r="B111" i="2"/>
  <c r="B110" i="2"/>
  <c r="B108" i="2"/>
  <c r="D109" i="2"/>
  <c r="B117" i="2"/>
  <c r="B116" i="2"/>
  <c r="B114" i="2"/>
  <c r="D115" i="2"/>
  <c r="B115" i="2"/>
  <c r="D114" i="2"/>
  <c r="H11" i="5"/>
  <c r="G11" i="5"/>
  <c r="F11" i="5"/>
  <c r="E11" i="5"/>
  <c r="D11" i="5"/>
  <c r="C11" i="5"/>
  <c r="B205" i="2"/>
  <c r="D204" i="2"/>
  <c r="B207" i="2"/>
  <c r="B206" i="2"/>
  <c r="B204" i="2"/>
  <c r="D205" i="2"/>
  <c r="G33" i="5"/>
  <c r="F33" i="5"/>
  <c r="E33" i="5"/>
  <c r="D33" i="5"/>
  <c r="C33" i="5"/>
  <c r="H33" i="5"/>
  <c r="F8" i="5"/>
  <c r="E8" i="5"/>
  <c r="D8" i="5"/>
  <c r="C8" i="5"/>
  <c r="H8" i="5"/>
  <c r="G8" i="5"/>
  <c r="B213" i="2"/>
  <c r="B212" i="2"/>
  <c r="B210" i="2"/>
  <c r="D211" i="2"/>
  <c r="B211" i="2"/>
  <c r="D210" i="2"/>
  <c r="D38" i="5"/>
  <c r="C38" i="5"/>
  <c r="H38" i="5"/>
  <c r="G38" i="5"/>
  <c r="F38" i="5"/>
  <c r="E38" i="5"/>
  <c r="C121" i="2"/>
  <c r="C192" i="2"/>
  <c r="B29" i="5"/>
  <c r="B101" i="2"/>
  <c r="E174" i="2"/>
  <c r="E247" i="2"/>
  <c r="B89" i="2"/>
  <c r="H19" i="5"/>
  <c r="G19" i="5"/>
  <c r="F19" i="5"/>
  <c r="E19" i="5"/>
  <c r="D19" i="5"/>
  <c r="C19" i="5"/>
  <c r="B187" i="2"/>
  <c r="D186" i="2"/>
  <c r="B189" i="2"/>
  <c r="B188" i="2"/>
  <c r="B186" i="2"/>
  <c r="D187" i="2"/>
  <c r="H10" i="5"/>
  <c r="G10" i="5"/>
  <c r="F10" i="5"/>
  <c r="E10" i="5"/>
  <c r="D10" i="5"/>
  <c r="C10" i="5"/>
  <c r="B61" i="2"/>
  <c r="D60" i="2"/>
  <c r="B63" i="2"/>
  <c r="B62" i="2"/>
  <c r="B60" i="2"/>
  <c r="D61" i="2"/>
  <c r="G41" i="5"/>
  <c r="F41" i="5"/>
  <c r="E41" i="5"/>
  <c r="D41" i="5"/>
  <c r="C41" i="5"/>
  <c r="H41" i="5"/>
  <c r="F16" i="5"/>
  <c r="E16" i="5"/>
  <c r="D16" i="5"/>
  <c r="C16" i="5"/>
  <c r="H16" i="5"/>
  <c r="G16" i="5"/>
  <c r="D240" i="2"/>
  <c r="B243" i="2"/>
  <c r="B242" i="2"/>
  <c r="B240" i="2"/>
  <c r="D241" i="2"/>
  <c r="B241" i="2"/>
  <c r="B69" i="2"/>
  <c r="B68" i="2"/>
  <c r="B66" i="2"/>
  <c r="D67" i="2"/>
  <c r="B67" i="2"/>
  <c r="D66" i="2"/>
  <c r="B134" i="2"/>
  <c r="B132" i="2"/>
  <c r="D133" i="2"/>
  <c r="B133" i="2"/>
  <c r="D132" i="2"/>
  <c r="B135" i="2"/>
  <c r="C37" i="5"/>
  <c r="H37" i="5"/>
  <c r="G37" i="5"/>
  <c r="F37" i="5"/>
  <c r="E37" i="5"/>
  <c r="D37" i="5"/>
  <c r="H12" i="5"/>
  <c r="G12" i="5"/>
  <c r="F12" i="5"/>
  <c r="E12" i="5"/>
  <c r="D12" i="5"/>
  <c r="C12" i="5"/>
  <c r="C54" i="2"/>
  <c r="C114" i="2"/>
  <c r="B197" i="2"/>
  <c r="B20" i="5"/>
  <c r="D247" i="2" l="1"/>
  <c r="B247" i="2"/>
  <c r="D246" i="2"/>
  <c r="B249" i="2"/>
  <c r="B248" i="2"/>
  <c r="B246" i="2"/>
  <c r="C29" i="5"/>
  <c r="H29" i="5"/>
  <c r="G29" i="5"/>
  <c r="F29" i="5"/>
  <c r="E29" i="5"/>
  <c r="D29" i="5"/>
  <c r="D199" i="2"/>
  <c r="B199" i="2"/>
  <c r="D198" i="2"/>
  <c r="B201" i="2"/>
  <c r="B200" i="2"/>
  <c r="B198" i="2"/>
  <c r="B91" i="2"/>
  <c r="D90" i="2"/>
  <c r="B93" i="2"/>
  <c r="B92" i="2"/>
  <c r="B90" i="2"/>
  <c r="D91" i="2"/>
  <c r="H20" i="5"/>
  <c r="G20" i="5"/>
  <c r="F20" i="5"/>
  <c r="E20" i="5"/>
  <c r="D20" i="5"/>
  <c r="C20" i="5"/>
  <c r="D103" i="2"/>
  <c r="B103" i="2"/>
  <c r="D102" i="2"/>
  <c r="B104" i="2"/>
  <c r="B102" i="2"/>
  <c r="B105" i="2"/>
  <c r="H28" i="5"/>
  <c r="G28" i="5"/>
  <c r="F28" i="5"/>
  <c r="E28" i="5"/>
  <c r="D28" i="5"/>
  <c r="C28" i="5"/>
</calcChain>
</file>

<file path=xl/sharedStrings.xml><?xml version="1.0" encoding="utf-8"?>
<sst xmlns="http://schemas.openxmlformats.org/spreadsheetml/2006/main" count="1244" uniqueCount="524">
  <si>
    <t>Helper_Match_Index</t>
  </si>
  <si>
    <t>Dấu thời gian</t>
  </si>
  <si>
    <t>Tên Doanh nghiệp/Tổ chức:</t>
  </si>
  <si>
    <t>Lĩnh vực hoạt động:</t>
  </si>
  <si>
    <t>Địa chỉ:</t>
  </si>
  <si>
    <t>Điện thoại</t>
  </si>
  <si>
    <t>Website:</t>
  </si>
  <si>
    <t>Họ và tên người liên hệ; Chức vụ:</t>
  </si>
  <si>
    <t>Số điện thoại người liên hệ; Email:</t>
  </si>
  <si>
    <t>Số lượng nhân sự trong toàn Doanh nghiệp/Tổ chức:</t>
  </si>
  <si>
    <t>Doanh nghiệp/Tổ chức thuộc thành phần:</t>
  </si>
  <si>
    <t xml:space="preserve">1/18.   Số lượng nhân viên đang làm việc tại quý Doanh nghiệp/Tổ chức tốt nghiệp từ khoa CKCN, ĐHNL TPHCM là bao nhiêu: </t>
  </si>
  <si>
    <t>2/18. Các nhân viên này đang đảm nhận vị trí công tác nào trong Quý cơ quan (có thể chọn nhiều đáp án)</t>
  </si>
  <si>
    <t>3/18.  Quý vị vui lòng đánh giá nhân viên tốt nghiệp từ khoa CKCN, ĐHNL TPHCM đã và đang làm việc tại Doanh nghiệp/Tổ chức theo các tiêu chí sau đây [Kiến thức chuyên ngành]</t>
  </si>
  <si>
    <t>3/18.  Quý vị vui lòng đánh giá nhân viên tốt nghiệp từ khoa CKCN, ĐHNL TPHCM đã và đang làm việc tại Doanh nghiệp/Tổ chức theo các tiêu chí sau đây [Khả năng ứng dụng kiến thức chuyên ngành vào thực tiễn]</t>
  </si>
  <si>
    <t>3/18.  Quý vị vui lòng đánh giá nhân viên tốt nghiệp từ khoa CKCN, ĐHNL TPHCM đã và đang làm việc tại Doanh nghiệp/Tổ chức theo các tiêu chí sau đây [Khả năng cập nhật kiến thức mới]</t>
  </si>
  <si>
    <t>3/18.  Quý vị vui lòng đánh giá nhân viên tốt nghiệp từ khoa CKCN, ĐHNL TPHCM đã và đang làm việc tại Doanh nghiệp/Tổ chức theo các tiêu chí sau đây [Kỹ năng chuyên môn nghề nghiệp]</t>
  </si>
  <si>
    <t>3/18.  Quý vị vui lòng đánh giá nhân viên tốt nghiệp từ khoa CKCN, ĐHNL TPHCM đã và đang làm việc tại Doanh nghiệp/Tổ chức theo các tiêu chí sau đây [Khả năng sử dụng ngoại ngữ trong công việc]</t>
  </si>
  <si>
    <t>3/18.  Quý vị vui lòng đánh giá nhân viên tốt nghiệp từ khoa CKCN, ĐHNL TPHCM đã và đang làm việc tại Doanh nghiệp/Tổ chức theo các tiêu chí sau đây [Kỹ năng tin học và sử dụng máy vi tính]</t>
  </si>
  <si>
    <t>3/18.  Quý vị vui lòng đánh giá nhân viên tốt nghiệp từ khoa CKCN, ĐHNL TPHCM đã và đang làm việc tại Doanh nghiệp/Tổ chức theo các tiêu chí sau đây [Năng lực nghiên cứu, sáng tạo]</t>
  </si>
  <si>
    <t>3/18.  Quý vị vui lòng đánh giá nhân viên tốt nghiệp từ khoa CKCN, ĐHNL TPHCM đã và đang làm việc tại Doanh nghiệp/Tổ chức theo các tiêu chí sau đây [Khả năng tư duy logic]</t>
  </si>
  <si>
    <t>3/18.  Quý vị vui lòng đánh giá nhân viên tốt nghiệp từ khoa CKCN, ĐHNL TPHCM đã và đang làm việc tại Doanh nghiệp/Tổ chức theo các tiêu chí sau đây [Kỹ năng làm việc nhóm]</t>
  </si>
  <si>
    <t>3/18.  Quý vị vui lòng đánh giá nhân viên tốt nghiệp từ khoa CKCN, ĐHNL TPHCM đã và đang làm việc tại Doanh nghiệp/Tổ chức theo các tiêu chí sau đây [Khả năng phân tích, phản biện]</t>
  </si>
  <si>
    <t>3/18.  Quý vị vui lòng đánh giá nhân viên tốt nghiệp từ khoa CKCN, ĐHNL TPHCM đã và đang làm việc tại Doanh nghiệp/Tổ chức theo các tiêu chí sau đây [Khả năng tự lập, chủ động trong công việc]</t>
  </si>
  <si>
    <t>3/18.  Quý vị vui lòng đánh giá nhân viên tốt nghiệp từ khoa CKCN, ĐHNL TPHCM đã và đang làm việc tại Doanh nghiệp/Tổ chức theo các tiêu chí sau đây [Kỹ năng giao tiếp và ứng xử]</t>
  </si>
  <si>
    <t>3/18.  Quý vị vui lòng đánh giá nhân viên tốt nghiệp từ khoa CKCN, ĐHNL TPHCM đã và đang làm việc tại Doanh nghiệp/Tổ chức theo các tiêu chí sau đây [Ý thức chấp hành nội quy, quy định, kỷ luật lao động]</t>
  </si>
  <si>
    <t>3/18.  Quý vị vui lòng đánh giá nhân viên tốt nghiệp từ khoa CKCN, ĐHNL TPHCM đã và đang làm việc tại Doanh nghiệp/Tổ chức theo các tiêu chí sau đây [Khả năng chịu áp lực công việc và thích nghi với những thay đổi, kỹ năng kiểm soát bản thân]</t>
  </si>
  <si>
    <t>4/18. Những điểm mạnh khác của nhân viên tốt nghiệp từ khoa CKCN, ĐHNL TPHCM chưa được nhắc tới ở trên</t>
  </si>
  <si>
    <t>5/18.  Những điểm yếu khác của nhân viên tốt nghiệp từ khoa CKCN, ĐHNL TPHCM chưa được nhắc tới ở trên</t>
  </si>
  <si>
    <t>6/18.  Tỉ lệ nhân viên tốt nghiệp từ khoa CKCN, ĐHNL TPHCM làm việc tại Doanh nghiệp/Tổ chức phải tham dự các khóa đào tạo bổ sung sau khi được tuyển dụng?</t>
  </si>
  <si>
    <t xml:space="preserve">7/18. Nội dung các khóa đào tạo này là: (có thể chọn nhiều đáp án) </t>
  </si>
  <si>
    <t>8/18.  Theo Quý vị, sinh viên và kỹ sư tốt nghiệp từ khoa CKCN, trường ĐHNL TPHCM cần được đào tạo thêm ở những tiêu chí nào dưới đây và nên do ai đào tạo? [1. Kiến thức chuyên ngành]</t>
  </si>
  <si>
    <t>8/18.  Theo Quý vị, sinh viên và kỹ sư tốt nghiệp từ khoa CKCN, trường ĐHNL TPHCM cần được đào tạo thêm ở những tiêu chí nào dưới đây và nên do ai đào tạo? [2. Kỹ năng chuyên môn nghề nghiệp]</t>
  </si>
  <si>
    <t>8/18.  Theo Quý vị, sinh viên và kỹ sư tốt nghiệp từ khoa CKCN, trường ĐHNL TPHCM cần được đào tạo thêm ở những tiêu chí nào dưới đây và nên do ai đào tạo? [3. Khả năng ngoại ngữ]</t>
  </si>
  <si>
    <t>8/18.  Theo Quý vị, sinh viên và kỹ sư tốt nghiệp từ khoa CKCN, trường ĐHNL TPHCM cần được đào tạo thêm ở những tiêu chí nào dưới đây và nên do ai đào tạo? [4. Kỹ năng tin học và sử dụng máy vi tính]</t>
  </si>
  <si>
    <t>8/18.  Theo Quý vị, sinh viên và kỹ sư tốt nghiệp từ khoa CKCN, trường ĐHNL TPHCM cần được đào tạo thêm ở những tiêu chí nào dưới đây và nên do ai đào tạo? [5. Kỹ năng mềm]</t>
  </si>
  <si>
    <t>8/18.  Theo Quý vị, sinh viên và kỹ sư tốt nghiệp từ khoa CKCN, trường ĐHNL TPHCM cần được đào tạo thêm ở những tiêu chí nào dưới đây và nên do ai đào tạo? [6. Ý thức, thái độ và nhận thức về bản thân, công việc và xã hội]</t>
  </si>
  <si>
    <t>9/18. Đối với nhân viên mới tốt nghiệp từ khoa CKCN, ĐHNL TPHCM, thời gian hội nhập công việc trung bình tính theo tháng là:</t>
  </si>
  <si>
    <t>10/18. Chất lượng chung của nhân viên tốt nghiệp từ khoa CKCN, ĐHNL TPHCM, được đánh giá là:</t>
  </si>
  <si>
    <t>11/18.  Xu hướng tuyển dụng trong tương lai, quý Doanh nghiệp/Tổ chức sẽ chú trọng yếu tố, phẩm chất nào? (Vui long đánh số theo thứ tự ưu tiên vào ô) [Kiến thức chuyên môn]</t>
  </si>
  <si>
    <t>11/18.  Xu hướng tuyển dụng trong tương lai, quý Doanh nghiệp/Tổ chức sẽ chú trọng yếu tố, phẩm chất nào? (Vui long đánh số theo thứ tự ưu tiên vào ô) [Kỹ năng giao tiếp]</t>
  </si>
  <si>
    <t>11/18.  Xu hướng tuyển dụng trong tương lai, quý Doanh nghiệp/Tổ chức sẽ chú trọng yếu tố, phẩm chất nào? (Vui long đánh số theo thứ tự ưu tiên vào ô) [Kỹ năng thực hành]</t>
  </si>
  <si>
    <t>11/18.  Xu hướng tuyển dụng trong tương lai, quý Doanh nghiệp/Tổ chức sẽ chú trọng yếu tố, phẩm chất nào? (Vui long đánh số theo thứ tự ưu tiên vào ô) [Năng lực ngoại ngữ]</t>
  </si>
  <si>
    <t>11/18.  Xu hướng tuyển dụng trong tương lai, quý Doanh nghiệp/Tổ chức sẽ chú trọng yếu tố, phẩm chất nào? (Vui long đánh số theo thứ tự ưu tiên vào ô) [Ý thức tổ chức kỷ luật trong công việc]</t>
  </si>
  <si>
    <t>11/18.  Xu hướng tuyển dụng trong tương lai, quý Doanh nghiệp/Tổ chức sẽ chú trọng yếu tố, phẩm chất nào? (Vui long đánh số theo thứ tự ưu tiên vào ô) [Các kỹ năng mềm]</t>
  </si>
  <si>
    <t xml:space="preserve">12/18. Quý Doanh nghiệp/Tổ chức đánh giá thế nào về khả năng tiếp tục lựa chọn nguồn nhân lực là sinh viên tốt nghiệp từ Khoa Cơ khí - Công nghệ, Trường Đại học Nông Lâm TP.HCM? </t>
  </si>
  <si>
    <t>Kính nhờ quý Quý Doanh nghiệp/ Công ty/ Tổ chức chọn một trong các chương trình đào tạo muốn khảo sát</t>
  </si>
  <si>
    <t>13/18. Phản hồi của Quý Doanh nghiệp/Tổ chức về sự phù hợp/mức độ cần thiết của chuẩn đầu ra (CĐR) của chương trình đào tạo (CTĐT Cơ khí Nông Lâm) theo 5 mức: [PLO 1]</t>
  </si>
  <si>
    <t>13/18. Phản hồi của Quý Doanh nghiệp/Tổ chức về sự phù hợp/mức độ cần thiết của chuẩn đầu ra (CĐR) của chương trình đào tạo (CTĐT Cơ khí Nông Lâm) theo 5 mức: [PLO 2]</t>
  </si>
  <si>
    <t>13/18. Phản hồi của Quý Doanh nghiệp/Tổ chức về sự phù hợp/mức độ cần thiết của chuẩn đầu ra (CĐR) của chương trình đào tạo (CTĐT Cơ khí Nông Lâm) theo 5 mức: [PLO 3]</t>
  </si>
  <si>
    <t>13/18. Phản hồi của Quý Doanh nghiệp/Tổ chức về sự phù hợp/mức độ cần thiết của chuẩn đầu ra (CĐR) của chương trình đào tạo (CTĐT Cơ khí Nông Lâm) theo 5 mức: [PLO 4]</t>
  </si>
  <si>
    <t>13/18. Phản hồi của Quý Doanh nghiệp/Tổ chức về sự phù hợp/mức độ cần thiết của chuẩn đầu ra (CĐR) của chương trình đào tạo (CTĐT Cơ khí Nông Lâm) theo 5 mức: [PLO 5]</t>
  </si>
  <si>
    <t>13/18. Phản hồi của Quý Doanh nghiệp/Tổ chức về sự phù hợp/mức độ cần thiết của chuẩn đầu ra (CĐR) của chương trình đào tạo (CTĐT Cơ khí Nông Lâm) theo 5 mức: [PLO 6]</t>
  </si>
  <si>
    <t>13/18. Phản hồi của Quý Doanh nghiệp/Tổ chức về sự phù hợp/mức độ cần thiết của chuẩn đầu ra (CĐR) của chương trình đào tạo (CTĐT Cơ khí Nông Lâm) theo 5 mức: [PLO 7]</t>
  </si>
  <si>
    <t>13/18. Phản hồi của Quý Doanh nghiệp/Tổ chức về sự phù hợp/mức độ cần thiết của chuẩn đầu ra (CĐR) của chương trình đào tạo (CTĐT Cơ khí Nông Lâm) theo 5 mức: [PLO 8]</t>
  </si>
  <si>
    <t>13/18. Phản hồi của Quý Doanh nghiệp/Tổ chức về sự phù hợp/mức độ cần thiết của chuẩn đầu ra (CĐR) của chương trình đào tạo (CTĐT Cơ khí Nông Lâm) theo 5 mức: [PLO 9]</t>
  </si>
  <si>
    <t>13/18. Phản hồi của Quý Doanh nghiệp/Tổ chức về sự phù hợp/mức độ cần thiết của chuẩn đầu ra (CĐR) của chương trình đào tạo (CTĐT Cơ khí Nông Lâm) theo 5 mức: [PLO 10]</t>
  </si>
  <si>
    <t>13/18. Phản hồi của Quý Doanh nghiệp/Tổ chức về sự phù hợp/mức độ cần thiết của chuẩn đầu ra (CĐR) của chương trình đào tạo (CTĐT Cơ khí Nông Lâm) theo 5 mức: [PLO 11]</t>
  </si>
  <si>
    <t>13/18. Phản hồi của Quý Doanh nghiệp/Tổ chức về sự phù hợp/mức độ cần thiết của chuẩn đầu ra (CĐR) của chương trình đào tạo (CTĐT Cơ khí Nông Lâm) theo 5 mức: [PLO 12]</t>
  </si>
  <si>
    <t>14/18. Quý Doanh nghiệp/Tổ chức có đề xuất, góp ý khác cho ngành Cơ khí Nông Lâm, xin vui lòng ghi bên dưới:</t>
  </si>
  <si>
    <t>13/18. Phản hồi của Quý Doanh nghiệp/Tổ chức về sự phù hợp/mức độ cần thiết của chuẩn đầu ra (CĐR) của chương trình đào tạo (CTĐT CKCB&amp;BQNSTP) theo 5 mức:  [PLO 1]</t>
  </si>
  <si>
    <t>13/18. Phản hồi của Quý Doanh nghiệp/Tổ chức về sự phù hợp/mức độ cần thiết của chuẩn đầu ra (CĐR) của chương trình đào tạo (CTĐT CKCB&amp;BQNSTP) theo 5 mức:  [PLO 2]</t>
  </si>
  <si>
    <t>13/18. Phản hồi của Quý Doanh nghiệp/Tổ chức về sự phù hợp/mức độ cần thiết của chuẩn đầu ra (CĐR) của chương trình đào tạo (CTĐT CKCB&amp;BQNSTP) theo 5 mức:  [PLO 3]</t>
  </si>
  <si>
    <t>13/18. Phản hồi của Quý Doanh nghiệp/Tổ chức về sự phù hợp/mức độ cần thiết của chuẩn đầu ra (CĐR) của chương trình đào tạo (CTĐT CKCB&amp;BQNSTP) theo 5 mức:  [PLO 4]</t>
  </si>
  <si>
    <t>13/18. Phản hồi của Quý Doanh nghiệp/Tổ chức về sự phù hợp/mức độ cần thiết của chuẩn đầu ra (CĐR) của chương trình đào tạo (CTĐT CKCB&amp;BQNSTP) theo 5 mức:  [PLO 5]</t>
  </si>
  <si>
    <t>13/18. Phản hồi của Quý Doanh nghiệp/Tổ chức về sự phù hợp/mức độ cần thiết của chuẩn đầu ra (CĐR) của chương trình đào tạo (CTĐT CKCB&amp;BQNSTP) theo 5 mức:  [PLO 6]</t>
  </si>
  <si>
    <t>13/18. Phản hồi của Quý Doanh nghiệp/Tổ chức về sự phù hợp/mức độ cần thiết của chuẩn đầu ra (CĐR) của chương trình đào tạo (CTĐT CKCB&amp;BQNSTP) theo 5 mức:  [PLO 7]</t>
  </si>
  <si>
    <t>13/18. Phản hồi của Quý Doanh nghiệp/Tổ chức về sự phù hợp/mức độ cần thiết của chuẩn đầu ra (CĐR) của chương trình đào tạo (CTĐT CKCB&amp;BQNSTP) theo 5 mức:  [PLO 8]</t>
  </si>
  <si>
    <t>13/18. Phản hồi của Quý Doanh nghiệp/Tổ chức về sự phù hợp/mức độ cần thiết của chuẩn đầu ra (CĐR) của chương trình đào tạo (CTĐT CKCB&amp;BQNSTP) theo 5 mức:  [PLO 9]</t>
  </si>
  <si>
    <t>13/18. Phản hồi của Quý Doanh nghiệp/Tổ chức về sự phù hợp/mức độ cần thiết của chuẩn đầu ra (CĐR) của chương trình đào tạo (CTĐT CKCB&amp;BQNSTP) theo 5 mức:  [PLO 10]</t>
  </si>
  <si>
    <t>13/18. Phản hồi của Quý Doanh nghiệp/Tổ chức về sự phù hợp/mức độ cần thiết của chuẩn đầu ra (CĐR) của chương trình đào tạo (CTĐT CKCB&amp;BQNSTP) theo 5 mức:  [PLO 11]</t>
  </si>
  <si>
    <t>13/18. Phản hồi của Quý Doanh nghiệp/Tổ chức về sự phù hợp/mức độ cần thiết của chuẩn đầu ra (CĐR) của chương trình đào tạo (CTĐT CKCB&amp;BQNSTP) theo 5 mức:  [PLO 12]</t>
  </si>
  <si>
    <t>14/18. Quý Doanh nghiệp/Tổ chức có đề xuất, góp ý khác, xin vui lòng ghi bên dưới: ( CKCB&amp;BQNSTP)</t>
  </si>
  <si>
    <t>13/18. Phản hồi của Quý Doanh nghiệp/Tổ chức về sự phù hợp/mức độ cần thiết của chuẩn đầu ra (CĐR) của chương trình đào tạo (CTĐT KTCK-NC) theo 5 mức: [PLO 1]</t>
  </si>
  <si>
    <t>13/18. Phản hồi của Quý Doanh nghiệp/Tổ chức về sự phù hợp/mức độ cần thiết của chuẩn đầu ra (CĐR) của chương trình đào tạo (CTĐT KTCK-NC) theo 5 mức: [PLO 2]</t>
  </si>
  <si>
    <t>13/18. Phản hồi của Quý Doanh nghiệp/Tổ chức về sự phù hợp/mức độ cần thiết của chuẩn đầu ra (CĐR) của chương trình đào tạo (CTĐT KTCK-NC) theo 5 mức: [PLO 3]</t>
  </si>
  <si>
    <t>13/18. Phản hồi của Quý Doanh nghiệp/Tổ chức về sự phù hợp/mức độ cần thiết của chuẩn đầu ra (CĐR) của chương trình đào tạo (CTĐT KTCK-NC) theo 5 mức: [PLO 4]</t>
  </si>
  <si>
    <t>13/18. Phản hồi của Quý Doanh nghiệp/Tổ chức về sự phù hợp/mức độ cần thiết của chuẩn đầu ra (CĐR) của chương trình đào tạo (CTĐT KTCK-NC) theo 5 mức: [PLO 5]</t>
  </si>
  <si>
    <t>13/18. Phản hồi của Quý Doanh nghiệp/Tổ chức về sự phù hợp/mức độ cần thiết của chuẩn đầu ra (CĐR) của chương trình đào tạo (CTĐT KTCK-NC) theo 5 mức: [PLO 6]</t>
  </si>
  <si>
    <t>13/18. Phản hồi của Quý Doanh nghiệp/Tổ chức về sự phù hợp/mức độ cần thiết của chuẩn đầu ra (CĐR) của chương trình đào tạo (CTĐT KTCK-NC) theo 5 mức: [PLO 7]</t>
  </si>
  <si>
    <t>13/18. Phản hồi của Quý Doanh nghiệp/Tổ chức về sự phù hợp/mức độ cần thiết của chuẩn đầu ra (CĐR) của chương trình đào tạo (CTĐT KTCK-NC) theo 5 mức: [PLO 8]</t>
  </si>
  <si>
    <t>13/18. Phản hồi của Quý Doanh nghiệp/Tổ chức về sự phù hợp/mức độ cần thiết của chuẩn đầu ra (CĐR) của chương trình đào tạo (CTĐT KTCK-NC) theo 5 mức: [PLO 9]</t>
  </si>
  <si>
    <t>13/18. Phản hồi của Quý Doanh nghiệp/Tổ chức về sự phù hợp/mức độ cần thiết của chuẩn đầu ra (CĐR) của chương trình đào tạo (CTĐT KTCK-NC) theo 5 mức: [PLO 10]</t>
  </si>
  <si>
    <t>13/18. Phản hồi của Quý Doanh nghiệp/Tổ chức về sự phù hợp/mức độ cần thiết của chuẩn đầu ra (CĐR) của chương trình đào tạo (CTĐT KTCK-NC) theo 5 mức: [PLO 11]</t>
  </si>
  <si>
    <t>13/18. Phản hồi của Quý Doanh nghiệp/Tổ chức về sự phù hợp/mức độ cần thiết của chuẩn đầu ra (CĐR) của chương trình đào tạo (CTĐT KTCK-NC) theo 5 mức: [PLO 12]</t>
  </si>
  <si>
    <t>14/18. Quý Doanh nghiệp/Tổ chức có đề xuất, góp ý khác, xin vui lòng ghi bên dưới: ( KTCK-NC)</t>
  </si>
  <si>
    <t>13/18. Phản hồi của Quý Doanh nghiệp/Tổ chức về sự phù hợp/mức độ cần thiết của chuẩn đầu ra (CĐR) của chương trình đào tạo (CTĐT CNKTOT) theo 5 mức: [PLO 1]</t>
  </si>
  <si>
    <t>13/18. Phản hồi của Quý Doanh nghiệp/Tổ chức về sự phù hợp/mức độ cần thiết của chuẩn đầu ra (CĐR) của chương trình đào tạo (CTĐT CNKTOT) theo 5 mức: [PLO 2]</t>
  </si>
  <si>
    <t>13/18. Phản hồi của Quý Doanh nghiệp/Tổ chức về sự phù hợp/mức độ cần thiết của chuẩn đầu ra (CĐR) của chương trình đào tạo (CTĐT CNKTOT) theo 5 mức: [PLO 3]</t>
  </si>
  <si>
    <t>13/18. Phản hồi của Quý Doanh nghiệp/Tổ chức về sự phù hợp/mức độ cần thiết của chuẩn đầu ra (CĐR) của chương trình đào tạo (CTĐT CNKTOT) theo 5 mức: [PLO 4]</t>
  </si>
  <si>
    <t>13/18. Phản hồi của Quý Doanh nghiệp/Tổ chức về sự phù hợp/mức độ cần thiết của chuẩn đầu ra (CĐR) của chương trình đào tạo (CTĐT CNKTOT) theo 5 mức: [PLO 5]</t>
  </si>
  <si>
    <t>13/18. Phản hồi của Quý Doanh nghiệp/Tổ chức về sự phù hợp/mức độ cần thiết của chuẩn đầu ra (CĐR) của chương trình đào tạo (CTĐT CNKTOT) theo 5 mức: [PLO 6]</t>
  </si>
  <si>
    <t>13/18. Phản hồi của Quý Doanh nghiệp/Tổ chức về sự phù hợp/mức độ cần thiết của chuẩn đầu ra (CĐR) của chương trình đào tạo (CTĐT CNKTOT) theo 5 mức: [PLO 7]</t>
  </si>
  <si>
    <t>13/18. Phản hồi của Quý Doanh nghiệp/Tổ chức về sự phù hợp/mức độ cần thiết của chuẩn đầu ra (CĐR) của chương trình đào tạo (CTĐT CNKTOT) theo 5 mức: [PLO 8]</t>
  </si>
  <si>
    <t>13/18. Phản hồi của Quý Doanh nghiệp/Tổ chức về sự phù hợp/mức độ cần thiết của chuẩn đầu ra (CĐR) của chương trình đào tạo (CTĐT CNKTOT) theo 5 mức: [PLO 9]</t>
  </si>
  <si>
    <t>13/18. Phản hồi của Quý Doanh nghiệp/Tổ chức về sự phù hợp/mức độ cần thiết của chuẩn đầu ra (CĐR) của chương trình đào tạo (CTĐT CNKTOT) theo 5 mức: [PLO 10]</t>
  </si>
  <si>
    <t>13/18. Phản hồi của Quý Doanh nghiệp/Tổ chức về sự phù hợp/mức độ cần thiết của chuẩn đầu ra (CĐR) của chương trình đào tạo (CTĐT CNKTOT) theo 5 mức: [PLO 11]</t>
  </si>
  <si>
    <t>13/18. Phản hồi của Quý Doanh nghiệp/Tổ chức về sự phù hợp/mức độ cần thiết của chuẩn đầu ra (CĐR) của chương trình đào tạo (CTĐT CNKTOT) theo 5 mức: [PLO 12]</t>
  </si>
  <si>
    <t>14/18. Quý Doanh nghiệp/Tổ chức có đề xuất, góp ý khác, xin vui lòng ghi bên dưới: ( CNKTOT)</t>
  </si>
  <si>
    <t>13/18. Phản hồi của Quý Doanh nghiệp/Tổ chức về sự phù hợp/mức độ cần thiết của chuẩn đầu ra (CĐR) của chương trình đào tạo (CTĐT CDT) theo 5 mức: [PLO 1]</t>
  </si>
  <si>
    <t>13/18. Phản hồi của Quý Doanh nghiệp/Tổ chức về sự phù hợp/mức độ cần thiết của chuẩn đầu ra (CĐR) của chương trình đào tạo (CTĐT CDT) theo 5 mức: [PLO 2]</t>
  </si>
  <si>
    <t>13/18. Phản hồi của Quý Doanh nghiệp/Tổ chức về sự phù hợp/mức độ cần thiết của chuẩn đầu ra (CĐR) của chương trình đào tạo (CTĐT CDT) theo 5 mức: [PLO 3]</t>
  </si>
  <si>
    <t>13/18. Phản hồi của Quý Doanh nghiệp/Tổ chức về sự phù hợp/mức độ cần thiết của chuẩn đầu ra (CĐR) của chương trình đào tạo (CTĐT CDT) theo 5 mức: [PLO 4]</t>
  </si>
  <si>
    <t>13/18. Phản hồi của Quý Doanh nghiệp/Tổ chức về sự phù hợp/mức độ cần thiết của chuẩn đầu ra (CĐR) của chương trình đào tạo (CTĐT CDT) theo 5 mức: [PLO 5]</t>
  </si>
  <si>
    <t>13/18. Phản hồi của Quý Doanh nghiệp/Tổ chức về sự phù hợp/mức độ cần thiết của chuẩn đầu ra (CĐR) của chương trình đào tạo (CTĐT CDT) theo 5 mức: [PLO 6]</t>
  </si>
  <si>
    <t>13/18. Phản hồi của Quý Doanh nghiệp/Tổ chức về sự phù hợp/mức độ cần thiết của chuẩn đầu ra (CĐR) của chương trình đào tạo (CTĐT CDT) theo 5 mức: [PLO 7]</t>
  </si>
  <si>
    <t>13/18. Phản hồi của Quý Doanh nghiệp/Tổ chức về sự phù hợp/mức độ cần thiết của chuẩn đầu ra (CĐR) của chương trình đào tạo (CTĐT CDT) theo 5 mức: [PLO 8]</t>
  </si>
  <si>
    <t>13/18. Phản hồi của Quý Doanh nghiệp/Tổ chức về sự phù hợp/mức độ cần thiết của chuẩn đầu ra (CĐR) của chương trình đào tạo (CTĐT CDT) theo 5 mức: [PLO 9]</t>
  </si>
  <si>
    <t>13/18. Phản hồi của Quý Doanh nghiệp/Tổ chức về sự phù hợp/mức độ cần thiết của chuẩn đầu ra (CĐR) của chương trình đào tạo (CTĐT CDT) theo 5 mức: [PLO 10]</t>
  </si>
  <si>
    <t>13/18. Phản hồi của Quý Doanh nghiệp/Tổ chức về sự phù hợp/mức độ cần thiết của chuẩn đầu ra (CĐR) của chương trình đào tạo (CTĐT CDT) theo 5 mức: [PLO 11]</t>
  </si>
  <si>
    <t>13/18. Phản hồi của Quý Doanh nghiệp/Tổ chức về sự phù hợp/mức độ cần thiết của chuẩn đầu ra (CĐR) của chương trình đào tạo (CTĐT CDT) theo 5 mức: [PLO 12]</t>
  </si>
  <si>
    <t>14/18. Quý Doanh nghiệp/Tổ chức có đề xuất, góp ý khác, xin vui lòng ghi bên dưới: ( CDT)</t>
  </si>
  <si>
    <t>13/18. Phản hồi của Quý Doanh nghiệp/Tổ chức về sự phù hợp/mức độ cần thiết của chuẩn đầu ra (CĐR) của chương trình đào tạo (CTĐT CNKTN) theo 5 mức: [PLO 1]</t>
  </si>
  <si>
    <t>13/18. Phản hồi của Quý Doanh nghiệp/Tổ chức về sự phù hợp/mức độ cần thiết của chuẩn đầu ra (CĐR) của chương trình đào tạo (CTĐT CNKTN) theo 5 mức: [PLO 2]</t>
  </si>
  <si>
    <t>13/18. Phản hồi của Quý Doanh nghiệp/Tổ chức về sự phù hợp/mức độ cần thiết của chuẩn đầu ra (CĐR) của chương trình đào tạo (CTĐT CNKTN) theo 5 mức: [PLO 3]</t>
  </si>
  <si>
    <t>13/18. Phản hồi của Quý Doanh nghiệp/Tổ chức về sự phù hợp/mức độ cần thiết của chuẩn đầu ra (CĐR) của chương trình đào tạo (CTĐT CNKTN) theo 5 mức: [PLO 4]</t>
  </si>
  <si>
    <t>13/18. Phản hồi của Quý Doanh nghiệp/Tổ chức về sự phù hợp/mức độ cần thiết của chuẩn đầu ra (CĐR) của chương trình đào tạo (CTĐT CNKTN) theo 5 mức: [PLO 5]</t>
  </si>
  <si>
    <t>13/18. Phản hồi của Quý Doanh nghiệp/Tổ chức về sự phù hợp/mức độ cần thiết của chuẩn đầu ra (CĐR) của chương trình đào tạo (CTĐT CNKTN) theo 5 mức: [PLO 6]</t>
  </si>
  <si>
    <t>13/18. Phản hồi của Quý Doanh nghiệp/Tổ chức về sự phù hợp/mức độ cần thiết của chuẩn đầu ra (CĐR) của chương trình đào tạo (CTĐT CNKTN) theo 5 mức: [PLO 7]</t>
  </si>
  <si>
    <t>13/18. Phản hồi của Quý Doanh nghiệp/Tổ chức về sự phù hợp/mức độ cần thiết của chuẩn đầu ra (CĐR) của chương trình đào tạo (CTĐT CNKTN) theo 5 mức: [PLO 8]</t>
  </si>
  <si>
    <t>13/18. Phản hồi của Quý Doanh nghiệp/Tổ chức về sự phù hợp/mức độ cần thiết của chuẩn đầu ra (CĐR) của chương trình đào tạo (CTĐT CNKTN) theo 5 mức: [PLO 9]</t>
  </si>
  <si>
    <t>13/18. Phản hồi của Quý Doanh nghiệp/Tổ chức về sự phù hợp/mức độ cần thiết của chuẩn đầu ra (CĐR) của chương trình đào tạo (CTĐT CNKTN) theo 5 mức: [PLO 10]</t>
  </si>
  <si>
    <t>13/18. Phản hồi của Quý Doanh nghiệp/Tổ chức về sự phù hợp/mức độ cần thiết của chuẩn đầu ra (CĐR) của chương trình đào tạo (CTĐT CNKTN) theo 5 mức: [PLO 11]</t>
  </si>
  <si>
    <t>13/18. Phản hồi của Quý Doanh nghiệp/Tổ chức về sự phù hợp/mức độ cần thiết của chuẩn đầu ra (CĐR) của chương trình đào tạo (CTĐT CNKTN) theo 5 mức: [PLO 12]</t>
  </si>
  <si>
    <t>14/18. Quý Doanh nghiệp/Tổ chức có đề xuất, góp ý khác, xin vui lòng ghi bên dưới: ( CNKTN)</t>
  </si>
  <si>
    <t>13/18. Phản hồi của Quý Doanh nghiệp/Tổ chức về sự phù hợp/mức độ cần thiết của chuẩn đầu ra (CĐR) của chương trình đào tạo (CTĐT TD) theo 5 mức: [PLO 1]</t>
  </si>
  <si>
    <t>13/18. Phản hồi của Quý Doanh nghiệp/Tổ chức về sự phù hợp/mức độ cần thiết của chuẩn đầu ra (CĐR) của chương trình đào tạo (CTĐT TD) theo 5 mức: [PLO 2]</t>
  </si>
  <si>
    <t>13/18. Phản hồi của Quý Doanh nghiệp/Tổ chức về sự phù hợp/mức độ cần thiết của chuẩn đầu ra (CĐR) của chương trình đào tạo (CTĐT TD) theo 5 mức: [PLO 3]</t>
  </si>
  <si>
    <t>13/18. Phản hồi của Quý Doanh nghiệp/Tổ chức về sự phù hợp/mức độ cần thiết của chuẩn đầu ra (CĐR) của chương trình đào tạo (CTĐT TD) theo 5 mức: [PLO 4]</t>
  </si>
  <si>
    <t>13/18. Phản hồi của Quý Doanh nghiệp/Tổ chức về sự phù hợp/mức độ cần thiết của chuẩn đầu ra (CĐR) của chương trình đào tạo (CTĐT TD) theo 5 mức: [PLO 5]</t>
  </si>
  <si>
    <t>13/18. Phản hồi của Quý Doanh nghiệp/Tổ chức về sự phù hợp/mức độ cần thiết của chuẩn đầu ra (CĐR) của chương trình đào tạo (CTĐT TD) theo 5 mức: [PLO 6]</t>
  </si>
  <si>
    <t>13/18. Phản hồi của Quý Doanh nghiệp/Tổ chức về sự phù hợp/mức độ cần thiết của chuẩn đầu ra (CĐR) của chương trình đào tạo (CTĐT TD) theo 5 mức: [PLO 7]</t>
  </si>
  <si>
    <t>13/18. Phản hồi của Quý Doanh nghiệp/Tổ chức về sự phù hợp/mức độ cần thiết của chuẩn đầu ra (CĐR) của chương trình đào tạo (CTĐT TD) theo 5 mức: [PLO 8]</t>
  </si>
  <si>
    <t>13/18. Phản hồi của Quý Doanh nghiệp/Tổ chức về sự phù hợp/mức độ cần thiết của chuẩn đầu ra (CĐR) của chương trình đào tạo (CTĐT TD) theo 5 mức: [PLO 9]</t>
  </si>
  <si>
    <t>13/18. Phản hồi của Quý Doanh nghiệp/Tổ chức về sự phù hợp/mức độ cần thiết của chuẩn đầu ra (CĐR) của chương trình đào tạo (CTĐT TD) theo 5 mức: [PLO 10]</t>
  </si>
  <si>
    <t>13/18. Phản hồi của Quý Doanh nghiệp/Tổ chức về sự phù hợp/mức độ cần thiết của chuẩn đầu ra (CĐR) của chương trình đào tạo (CTĐT TD) theo 5 mức: [PLO 11]</t>
  </si>
  <si>
    <t>13/18. Phản hồi của Quý Doanh nghiệp/Tổ chức về sự phù hợp/mức độ cần thiết của chuẩn đầu ra (CĐR) của chương trình đào tạo (CTĐT TD) theo 5 mức: [PLO 12]</t>
  </si>
  <si>
    <t>14/18. Quý Doanh nghiệp/Tổ chức có đề xuất, góp ý khác, xin vui lòng ghi bên dưới: ( TD)</t>
  </si>
  <si>
    <t>13/18. Phản hồi của Quý Doanh nghiệp/Tổ chức về sự phù hợp/mức độ cần thiết của chuẩn đầu ra (CĐR) của chương trình đào tạo (CTĐT RE) theo 5 mức: [PLO 1]</t>
  </si>
  <si>
    <t>13/18. Phản hồi của Quý Doanh nghiệp/Tổ chức về sự phù hợp/mức độ cần thiết của chuẩn đầu ra (CĐR) của chương trình đào tạo (CTĐT RE) theo 5 mức: [PLO 2]</t>
  </si>
  <si>
    <t>13/18. Phản hồi của Quý Doanh nghiệp/Tổ chức về sự phù hợp/mức độ cần thiết của chuẩn đầu ra (CĐR) của chương trình đào tạo (CTĐT RE) theo 5 mức: [PLO 3]</t>
  </si>
  <si>
    <t>13/18. Phản hồi của Quý Doanh nghiệp/Tổ chức về sự phù hợp/mức độ cần thiết của chuẩn đầu ra (CĐR) của chương trình đào tạo (CTĐT RE) theo 5 mức: [PLO 4]</t>
  </si>
  <si>
    <t>13/18. Phản hồi của Quý Doanh nghiệp/Tổ chức về sự phù hợp/mức độ cần thiết của chuẩn đầu ra (CĐR) của chương trình đào tạo (CTĐT RE) theo 5 mức: [PLO 5]</t>
  </si>
  <si>
    <t>13/18. Phản hồi của Quý Doanh nghiệp/Tổ chức về sự phù hợp/mức độ cần thiết của chuẩn đầu ra (CĐR) của chương trình đào tạo (CTĐT RE) theo 5 mức: [PLO 6]</t>
  </si>
  <si>
    <t>13/18. Phản hồi của Quý Doanh nghiệp/Tổ chức về sự phù hợp/mức độ cần thiết của chuẩn đầu ra (CĐR) của chương trình đào tạo (CTĐT RE) theo 5 mức: [PLO 7]</t>
  </si>
  <si>
    <t>13/18. Phản hồi của Quý Doanh nghiệp/Tổ chức về sự phù hợp/mức độ cần thiết của chuẩn đầu ra (CĐR) của chương trình đào tạo (CTĐT RE) theo 5 mức: [PLO 8]</t>
  </si>
  <si>
    <t>13/18. Phản hồi của Quý Doanh nghiệp/Tổ chức về sự phù hợp/mức độ cần thiết của chuẩn đầu ra (CĐR) của chương trình đào tạo (CTĐT RE) theo 5 mức: [PLO 9]</t>
  </si>
  <si>
    <t>13/18. Phản hồi của Quý Doanh nghiệp/Tổ chức về sự phù hợp/mức độ cần thiết của chuẩn đầu ra (CĐR) của chương trình đào tạo (CTĐT RE) theo 5 mức: [PLO 10]</t>
  </si>
  <si>
    <t>13/18. Phản hồi của Quý Doanh nghiệp/Tổ chức về sự phù hợp/mức độ cần thiết của chuẩn đầu ra (CĐR) của chương trình đào tạo (CTĐT RE) theo 5 mức: [PLO 11]</t>
  </si>
  <si>
    <t>13/18. Phản hồi của Quý Doanh nghiệp/Tổ chức về sự phù hợp/mức độ cần thiết của chuẩn đầu ra (CĐR) của chương trình đào tạo (CTĐT RE) theo 5 mức: [PLO 12]</t>
  </si>
  <si>
    <t>14/18. Quý Doanh nghiệp/Tổ chức có đề xuất, góp ý khác, xin vui lòng ghi bên dưới: (RE)</t>
  </si>
  <si>
    <t>15/18. Phản hồi của Quý Doanh nghiệp/Tổ chức về sự phù hợp/mức độ cần thiết của về các khối kiến thức/kỹ năng trong khung chương trình đào tạo [1.	Tỉ lệ giữa các khối kiến thức cơ bản/cơ sở ngành và chuyên ngành là hợp lý?]</t>
  </si>
  <si>
    <t>15/18. Phản hồi của Quý Doanh nghiệp/Tổ chức về sự phù hợp/mức độ cần thiết của về các khối kiến thức/kỹ năng trong khung chương trình đào tạo [2.	Tỉ lệ giữa các học phần lý thuyết và thực hành là hợp lý?]</t>
  </si>
  <si>
    <t>15/18. Phản hồi của Quý Doanh nghiệp/Tổ chức về sự phù hợp/mức độ cần thiết của về các khối kiến thức/kỹ năng trong khung chương trình đào tạo [3.	Thời lượng các học phần thực hành đủ để hình thành các kỹ năng nghề nghiệp chuyên môn?]</t>
  </si>
  <si>
    <t>15/18. Phản hồi của Quý Doanh nghiệp/Tổ chức về sự phù hợp/mức độ cần thiết của về các khối kiến thức/kỹ năng trong khung chương trình đào tạo [4.	Các học phần đào tạo kỹ năng mềm như giao tiếp, làm việc nhóm, nghiên cứu khoa học trong chương trình đào tạ</t>
  </si>
  <si>
    <t>15/18. Phản hồi của Quý Doanh nghiệp/Tổ chức về sự phù hợp/mức độ cần thiết của về các khối kiến thức/kỹ năng trong khung chương trình đào tạo [5.	Đào tạo ngoại ngữ trong chương trình đào tạo phù hợp với yêu cầu xã hội?]</t>
  </si>
  <si>
    <t>16/18. Xin cho biết học phần nào nên loại bỏ khỏi chương trình đào tạo?</t>
  </si>
  <si>
    <t>17/18. Xin cho biết học phần nào nên thêm vào chương trình đào tạo?</t>
  </si>
  <si>
    <t>18/18.  Quý Doanh nghiệp/Tổ chức vui lòng có những ý kiến đóng góp để chất lượng giáo dục trong khoa CKCN, trường ĐH Nông Lâm TPHCM ngày càng nâng cao, đáp ứng nhu cầu xã hội: Về các mặt như cấu trúc, nội dung, các điều kiện thực hiện chương trình …</t>
  </si>
  <si>
    <t>Công ty TNHH Trang Thiết Bị Y Tế Phước Tiến</t>
  </si>
  <si>
    <t>mua bán Trang thiết bị y tế</t>
  </si>
  <si>
    <t>108 đường số 25, phường An Lạc, Tp. Hồ Chí Minh</t>
  </si>
  <si>
    <t>0917210490</t>
  </si>
  <si>
    <t>www.ptmed.vn</t>
  </si>
  <si>
    <t>Trương Hải Văn; Giám đốc</t>
  </si>
  <si>
    <t>0917210490; email: haivan.phuoctienmed@gmail.com</t>
  </si>
  <si>
    <t>Tư nhân</t>
  </si>
  <si>
    <t>Bộ phận kỹ thuật</t>
  </si>
  <si>
    <t>Bổ sung kỹ năng thực hành, Bổ sung kỹ năng ngoại ngữ, tin học</t>
  </si>
  <si>
    <t>Không cần đào tạo</t>
  </si>
  <si>
    <t>Nhà trường</t>
  </si>
  <si>
    <t>Doanh nghiệp/ Tổ chức</t>
  </si>
  <si>
    <t>Từ 6 tháng - 1 năm</t>
  </si>
  <si>
    <t>Khá</t>
  </si>
  <si>
    <t>Tiếp tục tin tưởng và lựa chọn</t>
  </si>
  <si>
    <t>CHUYÊN NGÀNH CƠ KHÍ NÔNG LÂM</t>
  </si>
  <si>
    <t>B</t>
  </si>
  <si>
    <t>CÔNG TY TNHH KỸ THUẬT HOÀNG TÂM</t>
  </si>
  <si>
    <t>CƠ KHÍ- CHẾ TẠO - CÔNG NGHỆ THỰC PHẨM</t>
  </si>
  <si>
    <t>0903390069</t>
  </si>
  <si>
    <t>https://hoangtamsse.com/</t>
  </si>
  <si>
    <t>LÊ QUANG NGỌC</t>
  </si>
  <si>
    <t>0903390069 - ngoc.le@hoangtamsse.com</t>
  </si>
  <si>
    <t>Quản lý, Bộ phận kỹ thuật, Bộ phận kinh doanh</t>
  </si>
  <si>
    <t>Cập nhật công nghệ chuyên môn mới, Bổ sung kỹ năng thực hành, Bổ sung kỹ năng mềm, Các lớp về quản trị, quản lý</t>
  </si>
  <si>
    <t>Trên 1 năm</t>
  </si>
  <si>
    <t>Trung bình</t>
  </si>
  <si>
    <t>Cần cân nhắc thêm dựa trên sự phù hợp với định hướng mới của doanh nghiệp.</t>
  </si>
  <si>
    <t>CÔNG NGHỆ KỸ THUẬT CƠ KHÍ - CHƯƠNG TRÌNH NÂNG CAO</t>
  </si>
  <si>
    <t>Nhà trường nên tổ chức các buổi tham quan thực tế/ các hội thảo việc làm để sinh viên biết các doanh nghiệp cần gì ở người lao động. tránh bị lý thuyết quá nhiều mà không có kỹ năng thực tế.</t>
  </si>
  <si>
    <t>C</t>
  </si>
  <si>
    <t>Tiêu chuẩn thiết kế/ QUản lý dự án</t>
  </si>
  <si>
    <t>áp dụng các hệ thống, máy móc thực tế ở ngoài để đưa vào chương trình cho sinh viên dễ hình dung</t>
  </si>
  <si>
    <t>Công ty TNHH Dịch vụ Thử Không phá hủy Q.I.S</t>
  </si>
  <si>
    <t>Thiết kế, kiểm tra các dự án dầu khí bằng phương pháp NDT</t>
  </si>
  <si>
    <t>Green Building, Đường số 2&amp;8, KCN Đông Xuyên, Phường Rạch Dừa, TP. HCM</t>
  </si>
  <si>
    <t>0964504506</t>
  </si>
  <si>
    <t>www.qis.com.vn</t>
  </si>
  <si>
    <t>Hoàng Văn Viết, Phó Giám đốc ban R &amp; D</t>
  </si>
  <si>
    <t>Trên 300</t>
  </si>
  <si>
    <t>Quản lý</t>
  </si>
  <si>
    <t>Kinh nghiệm quản lý</t>
  </si>
  <si>
    <t xml:space="preserve">Ngoại ngữ chuyên ngành </t>
  </si>
  <si>
    <t>Cập nhật công nghệ chuyên môn mới, Bổ sung kỹ năng thực hành, Các lớp về quản trị, quản lý</t>
  </si>
  <si>
    <t>Từ 2 - 6 tháng</t>
  </si>
  <si>
    <t>Tốt</t>
  </si>
  <si>
    <t>KỸ THUẬT ĐIỀU KHIỂN VÀ TỰ ĐỘNG HÓA</t>
  </si>
  <si>
    <t>không</t>
  </si>
  <si>
    <t>Công ty cổ phần công nghệ Thadosoft</t>
  </si>
  <si>
    <t>Công nghệ Vision AI + Robot công nghiệp</t>
  </si>
  <si>
    <t>Nhà Số 30 Đường Số 1, Khu Nhà Ở Hưng Phú, Khu Phố 1, Phường Tam Bình, TP Hồ Chí Minh</t>
  </si>
  <si>
    <t>0377877058</t>
  </si>
  <si>
    <t>https://thadosoft.com/</t>
  </si>
  <si>
    <t>Nguyễn Hoàng Minh</t>
  </si>
  <si>
    <t>Bộ phận kỹ thuật, Bộ phận thiết kế, Bộ phận kinh doanh</t>
  </si>
  <si>
    <t>Không có</t>
  </si>
  <si>
    <t>Ngoại ngữ - Tiếng Anh và khả năng làm việc nhóm</t>
  </si>
  <si>
    <t>80% - Hầu hết đều cần đào tạo thêm, nhưng nhờ nền tảng kiến thức cơ bản nên học nhanh</t>
  </si>
  <si>
    <t>Cập nhật công nghệ chuyên môn mới, Bổ sung kỹ năng thực hành, Bổ sung kỹ năng ngoại ngữ, tin học</t>
  </si>
  <si>
    <t>Công ty TNHH QT Thủ Đức</t>
  </si>
  <si>
    <t>Tự động hoá</t>
  </si>
  <si>
    <t>32/1/17 Đường số 7, P. Long Trường, TP. Hồ Chí Minh</t>
  </si>
  <si>
    <t>0982 221 420</t>
  </si>
  <si>
    <t>Trương Công Tiễn</t>
  </si>
  <si>
    <t>truongcongtien80@gmail.com</t>
  </si>
  <si>
    <t>Cập nhật công nghệ chuyên môn mới, Bổ sung kỹ năng thực hành, Bổ sung kỹ năng ngoại ngữ, tin học, Bổ sung kỹ năng mềm</t>
  </si>
  <si>
    <t>A</t>
  </si>
  <si>
    <t>Công ty Cổ phần Vĩnh Hoàn</t>
  </si>
  <si>
    <t>Thủy sản</t>
  </si>
  <si>
    <t>Quốc lộ 30, phường Mỹ Ngãi, Đồng Tháp</t>
  </si>
  <si>
    <t>0907116871</t>
  </si>
  <si>
    <t>Quách Bảo Châu; Nhân viên</t>
  </si>
  <si>
    <t>0907116871, baochau.qbc@gmail.com</t>
  </si>
  <si>
    <t>Trách nhiệm, cống hiến</t>
  </si>
  <si>
    <t>Bổ sung kỹ năng mềm, Các lớp về quản trị, quản lý</t>
  </si>
  <si>
    <t>Dưới 2 tháng</t>
  </si>
  <si>
    <t>CÔNG TY CỔ PHẦN TẬP ĐOÀN TEDCO</t>
  </si>
  <si>
    <t>Tổng thầu cơ điện</t>
  </si>
  <si>
    <t>24 Đường số 3, Phường Thông Tây Hội, TP Hồ Chí Minh, Việt Nam</t>
  </si>
  <si>
    <t>0907-995-936</t>
  </si>
  <si>
    <t xml:space="preserve"> www.tedco.com.vn</t>
  </si>
  <si>
    <t>Tổng Giám Đốc</t>
  </si>
  <si>
    <t>nguyenphuochai.tedco@gmail.com</t>
  </si>
  <si>
    <t xml:space="preserve">25 người </t>
  </si>
  <si>
    <t xml:space="preserve">2 người </t>
  </si>
  <si>
    <t>Quản lý, Bộ phận kỹ thuật</t>
  </si>
  <si>
    <t>Chịu khó và làm việc nhóm tốt</t>
  </si>
  <si>
    <t>Cần bổ sung thêm kiến thức tin học văn phòng và anh ngữ</t>
  </si>
  <si>
    <t xml:space="preserve">2-3 người </t>
  </si>
  <si>
    <t>Bổ sung kỹ năng thực hành, Bổ sung kỹ năng ngoại ngữ, tin học, Các lớp về quản trị, quản lý</t>
  </si>
  <si>
    <t>Công ty TNHH SMC manufacturing Vietnam</t>
  </si>
  <si>
    <t>Sản xuất thiết bị điều khiển tự động</t>
  </si>
  <si>
    <t>Kcn Long Đức, xã Long Đức, huyện Long Thành, tỉnh Đồng Nai</t>
  </si>
  <si>
    <t>Lê Huỳnh</t>
  </si>
  <si>
    <t>Công ty TNHH MikTek Việt Nam</t>
  </si>
  <si>
    <t>Hoạt động kiến trúc và tư vấn kỹ thuật có liên quan</t>
  </si>
  <si>
    <t>Tòa nhà A5, Lô số A5, Khu E-Office, đường Sáng Tạo, Khu chế xuất Tân Thuận, Phường Tân Thuận Đông, Quận 7, Thành phố Hồ Chí Minh, Việt Nam</t>
  </si>
  <si>
    <t>02836207740</t>
  </si>
  <si>
    <t>https://mitekvietnam.com.vn/vi/</t>
  </si>
  <si>
    <t>Trần Văn Hiệp; Nhân viên kỹ thuật</t>
  </si>
  <si>
    <t>0375404741</t>
  </si>
  <si>
    <t>Cập nhật công nghệ chuyên môn mới, Bổ sung kỹ năng ngoại ngữ, tin học, Bổ sung kỹ năng mềm, Các lớp về quản trị, quản lý</t>
  </si>
  <si>
    <t>Công ty TNHH Cơ Khí và Tự Động Hóa Lâm Thao</t>
  </si>
  <si>
    <t>Chế tạo máy</t>
  </si>
  <si>
    <t>12c/21 khu phố Bình Phước B, Phường An Phú, Thành Phố Hồ Chí Minh</t>
  </si>
  <si>
    <t>0987989269</t>
  </si>
  <si>
    <t>www.lamthaocompany.com</t>
  </si>
  <si>
    <t>Nguyễn Đức Thao, Giám Đốc</t>
  </si>
  <si>
    <t>0987989269. thao1211@gmail.com</t>
  </si>
  <si>
    <t>15- 20 nhân sự</t>
  </si>
  <si>
    <t>15-20</t>
  </si>
  <si>
    <t>Quản lý, Bộ phận sản xuất, Bộ phận kỹ thuật, Bộ phận thiết kế, Bộ phận kinh doanh</t>
  </si>
  <si>
    <t>Tư duy xây dựng các ý tưởng tốt.</t>
  </si>
  <si>
    <t>kỹ năng thực hành gia công còn yếu.</t>
  </si>
  <si>
    <t>Cập nhật công nghệ chuyên môn mới, Bổ sung kỹ năng thực hành</t>
  </si>
  <si>
    <t>CÔNG NGHỆ KỸ THUẬT CƠ ĐIỆN TỬ</t>
  </si>
  <si>
    <t xml:space="preserve">các môn đại cương , </t>
  </si>
  <si>
    <t>kỹ năng thực hành, tính toán, và học các loại vật liệu (bên cơ)</t>
  </si>
  <si>
    <t>nhờ nhà trường tăng cường kỹ năng thực hành, nghiên cứu cho các bạn sinh viên,</t>
  </si>
  <si>
    <t>Công ty TNHH Tuấn Ân Đồng Nai</t>
  </si>
  <si>
    <t>Điện, Điện tử</t>
  </si>
  <si>
    <t>71 Tên Lửa, Phường An lạc, TPHCM</t>
  </si>
  <si>
    <t>0911851082</t>
  </si>
  <si>
    <t>tuanan.com.vn</t>
  </si>
  <si>
    <t>Lương Hồng Đông; Giám Đốc</t>
  </si>
  <si>
    <t>0911 851 082; gddn@tuanan.com.vn</t>
  </si>
  <si>
    <t>Bộ phận kinh doanh</t>
  </si>
  <si>
    <t>Hơi thụ động</t>
  </si>
  <si>
    <t>8/10</t>
  </si>
  <si>
    <t>Bổ sung kỹ năng ngoại ngữ, tin học</t>
  </si>
  <si>
    <t>Công ty TNHH Mitutoyo Việt Nam</t>
  </si>
  <si>
    <t>Kinh doanh, lắp đặt, đào tạo về thiết bị đo lường cơ khí chính xác</t>
  </si>
  <si>
    <t>Căn số B-00.07, Tầng trệt, Chung cư Lô C1, Số 6, Đường D9, Phường An Khánh, TP Hồ Chí Minh, Việt Nam</t>
  </si>
  <si>
    <t>0914694758</t>
  </si>
  <si>
    <t>https://www.mitutoyo.com.vn</t>
  </si>
  <si>
    <t>Mai Đăng Khoa; Trợ lý vận hành/ kỹ sư kinh doanh</t>
  </si>
  <si>
    <t>Mai-dangkhoa@mitutoyo.com.vn</t>
  </si>
  <si>
    <t>100% vốn đầu tư nước ngoài</t>
  </si>
  <si>
    <t>Tiếng anh giao tiếp, kỹ năng tìm việc làm</t>
  </si>
  <si>
    <t>Công ty TNHH Sailun VN</t>
  </si>
  <si>
    <t>Sản xuất lốp xe</t>
  </si>
  <si>
    <t>L6 37-1...41-20a, Đường Dll, KCN Phước Đông, Phường Gia Lộc, Tỉnh Tây Ninh</t>
  </si>
  <si>
    <t>0975607237</t>
  </si>
  <si>
    <t>Trợ lý bộ trưởng (Phòng nhân sự)</t>
  </si>
  <si>
    <t>huangshiyijiang@sailuntire.com</t>
  </si>
  <si>
    <t>Bộ phận sản xuất, Bộ phận đào tạo, Bộ phận kỹ thuật, Bộ phận nhân sự</t>
  </si>
  <si>
    <t>90% sinh viên sau tốt nghiệp được đào tạo lại về kiến thức chuyên môn ngắn liền với thực tế vận hành của công ty</t>
  </si>
  <si>
    <t>Cập nhật công nghệ chuyên môn mới, Bổ sung kỹ năng thực hành, Bổ sung kỹ năng ngoại ngữ, tin học, Bổ sung kỹ năng mềm, Các lớp về quản trị, quản lý</t>
  </si>
  <si>
    <t>D</t>
  </si>
  <si>
    <t xml:space="preserve">Multivac Việt Nam </t>
  </si>
  <si>
    <t>Packaging solutions</t>
  </si>
  <si>
    <t>Số 97, Đường 53-BTT, Khu phố 16, Phường Bình Trưng, TP Hồ Chí Minh, Việt Nam</t>
  </si>
  <si>
    <t>Nguyễn Trường Giang</t>
  </si>
  <si>
    <t>Giang.kscdt@gmail.com</t>
  </si>
  <si>
    <t>Quản lý, Bộ phận đào tạo, Bộ phận kỹ thuật</t>
  </si>
  <si>
    <t>Không chê lương thấp và không dễ dàng nhảy việc lúc mới ra trường</t>
  </si>
  <si>
    <t>Yếu kỹ năng giao tiếp và yếu tư duy phản biện</t>
  </si>
  <si>
    <t>Bổ sung kỹ năng ngoại ngữ, tin học, Bổ sung kỹ năng mềm, Các lớp về quản trị, quản lý</t>
  </si>
  <si>
    <t>Thiếu đào tạo cách viết CV, cacha trả lời phỏng vấn, cách HR hoạt động trong doanh nghiệp</t>
  </si>
  <si>
    <t>Cách chọn vị trí ứng tuyển, công việc có phù hợp với năng lực và sở trường, sở thích của ứng viên</t>
  </si>
  <si>
    <t>Thiếu chương trình đào tự thực tế, nên mời các trưởng phó phòng nhân sự các doanh nghiệp, trưởng phó phòng kỹ thuật, bán hàng các doanh nghiệp về đào tạo phần thực hành cho sinh viên</t>
  </si>
  <si>
    <t>Công ty TNHH Scansia Pacific</t>
  </si>
  <si>
    <t>Đồ gỗ xuất khẩu</t>
  </si>
  <si>
    <t>Lô A1, đường D2, KCN dệt may Vinatex Tân Tạo, Đồng Nai</t>
  </si>
  <si>
    <t>Tel: (0251) 3560620 Fax: (0251) 3560621</t>
  </si>
  <si>
    <t>1600 người</t>
  </si>
  <si>
    <t>Quản lý, Bộ phận sản xuất, Bộ phận kỹ thuật, Sửa chữa cơ điện</t>
  </si>
  <si>
    <t>chịu khó học hỏi</t>
  </si>
  <si>
    <t>chờ giao việc, ít chịu động não</t>
  </si>
  <si>
    <t>Cập nhật công nghệ chuyên môn mới, Bổ sung kỹ năng mềm, Các lớp về quản trị, quản lý</t>
  </si>
  <si>
    <t>CÔNG NGHỆ KỸ THUẬT NHIỆT</t>
  </si>
  <si>
    <t>đào tạo sự tự tin cho sinh viên</t>
  </si>
  <si>
    <t xml:space="preserve">Công Ty TNHH Cơ Khí - Chế Tạo Chí Hướng ( Chiho ) </t>
  </si>
  <si>
    <t>Cơ khí chế tạo máy công nghiệp và xây dựng</t>
  </si>
  <si>
    <t>Số 17 lô 06LK2 đường Vành Đai Nam, KDC Hà Đô, P. Thới An, TP. HCM</t>
  </si>
  <si>
    <t>0947000155</t>
  </si>
  <si>
    <t>cokhitudongchiho.com</t>
  </si>
  <si>
    <t xml:space="preserve">Đoàn Văn Hướng : P. Giám Đốc </t>
  </si>
  <si>
    <t>huongchiho@gmail.com</t>
  </si>
  <si>
    <t>41 người</t>
  </si>
  <si>
    <t>Quản lý, Bộ phận sản xuất</t>
  </si>
  <si>
    <t>Nhân viên Chiho tự tin</t>
  </si>
  <si>
    <t>Chưa định hướng tương lai rõ ràng</t>
  </si>
  <si>
    <t>có nhiều</t>
  </si>
  <si>
    <t xml:space="preserve">Tư duy hệ thống rất quan trọng </t>
  </si>
  <si>
    <t>không có ý kiến</t>
  </si>
  <si>
    <t>Thực tập thực tế và có đánh giá chuyên môn chân thành từ nơi thực hành</t>
  </si>
  <si>
    <t xml:space="preserve">Chắc kiến thức cơ bản về cơ khí, điện … sau đó chỉ cần khả năng tự học để nâng cao theo tư duy hệ thống =&gt; Nếu làm được nhất định các bạn sẽ giỏi . 
Cảm ơn nhà trường và chúc nhà trường luôn vững mạnh và phát triển ! </t>
  </si>
  <si>
    <t>TAIKISHA VIETNAM</t>
  </si>
  <si>
    <t>Cơ Điện</t>
  </si>
  <si>
    <t>P. Thạnh Mỹ Tây, TP.HCM</t>
  </si>
  <si>
    <t>Bộ phận kỹ thuật, Bộ phận thiết kế</t>
  </si>
  <si>
    <t>Bổ sung kỹ năng ngoại ngữ, tin học, REVIT</t>
  </si>
  <si>
    <t>REVIT</t>
  </si>
  <si>
    <t>CÔNG TY CƠ ĐIỆN TỬ HIỆP PHÁT</t>
  </si>
  <si>
    <t>hiết kế và mua bán, chế tạo máy phay CNC, máy tiện CNC, máy khoan CNC.. và sửa chữa máy CNC cho ngành chế biến gỗ, điêu khắc mỹ nghệ và quảng cáo</t>
  </si>
  <si>
    <t>64 Khu phố 8, Phường Bình Hưng Hòa A, Quận Bình Tân</t>
  </si>
  <si>
    <t>Bùi Thanh Luân</t>
  </si>
  <si>
    <t xml:space="preserve">Công ty TNHH Cơ Điện Tử ACS </t>
  </si>
  <si>
    <t xml:space="preserve"> Hàn cắt, gia công kim loại và tự động hóa</t>
  </si>
  <si>
    <t>Số 674/46/14, đường ĐT 743A, Khu phố Đông Chiêu A, Phường Dĩ An, TP Hồ Chí Minh</t>
  </si>
  <si>
    <t>www.acsco.vn</t>
  </si>
  <si>
    <t>Bộ phận sản xuất</t>
  </si>
  <si>
    <t>Cập nhật công nghệ chuyên môn mới, Bổ sung kỹ năng mềm</t>
  </si>
  <si>
    <t>Công ty Cổ phần IDEA Group</t>
  </si>
  <si>
    <t>Sản xuất chế tạo</t>
  </si>
  <si>
    <t>028 6289 0517</t>
  </si>
  <si>
    <t>Đỗ Hoàng Trung</t>
  </si>
  <si>
    <t>Công ty CP Máy và Thiết bị Công nghiệp (IME)</t>
  </si>
  <si>
    <t>Sản xuất</t>
  </si>
  <si>
    <t>024 3862 1012</t>
  </si>
  <si>
    <t>Nguyễn Huy Hoàng</t>
  </si>
  <si>
    <t>Cập nhật công nghệ chuyên môn mới</t>
  </si>
  <si>
    <t>Công ty TNHH Tự động hóa Weldcom</t>
  </si>
  <si>
    <t>Trần Văn Thắng</t>
  </si>
  <si>
    <t>Bộ phận khác</t>
  </si>
  <si>
    <t>Công ty CP Công nghệ Autotech Việt Nam</t>
  </si>
  <si>
    <t>Chế tạo</t>
  </si>
  <si>
    <t>Nguyễn Trọng Tuyến</t>
  </si>
  <si>
    <t>Công ty TNHH Kỹ thuật Tự động ETEC</t>
  </si>
  <si>
    <t>Nguyễn Việt Hùng</t>
  </si>
  <si>
    <t>Bổ sung kỹ năng thực hành</t>
  </si>
  <si>
    <t>Công ty TNHH Giải pháp Cơ điện tử Green Tech</t>
  </si>
  <si>
    <t>028 6251 5115</t>
  </si>
  <si>
    <t>Lê Văn Ninh</t>
  </si>
  <si>
    <t>Bổ sung kỹ năng ngoại ngữ, tin học, Bổ sung kỹ năng mềm</t>
  </si>
  <si>
    <t>Công ty CP Tự động hóa Tân Phát</t>
  </si>
  <si>
    <t>Công ty TNHH Kỹ thuật Cơ điện tử Toàn Cầu</t>
  </si>
  <si>
    <t>Công ty CP Chế tạo máy Midam</t>
  </si>
  <si>
    <t>Công ty TNHH Robot và Tự động hóa Việt Nam</t>
  </si>
  <si>
    <t>028 3930 1122</t>
  </si>
  <si>
    <t>Phạm Minh Tuấn</t>
  </si>
  <si>
    <t>Công ty TNHH Kỹ thuật Công nghiệp Ánh Dương</t>
  </si>
  <si>
    <t>Đặng Văn Bình</t>
  </si>
  <si>
    <t>Bộ phận sản xuất, Bộ phận kỹ thuật</t>
  </si>
  <si>
    <t>Công ty TNHH Cơ điện tử Bách Khoa</t>
  </si>
  <si>
    <t>sản xuất chế tạo</t>
  </si>
  <si>
    <t>Trần Thế Hiển</t>
  </si>
  <si>
    <t>Bộ phận sản xuất, Bộ phận đào tạo, Bộ phận kỹ thuật</t>
  </si>
  <si>
    <t>Cập nhật công nghệ chuyên môn mới, Bổ sung kỹ năng ngoại ngữ, tin học</t>
  </si>
  <si>
    <t>IMS Systems Vietnam</t>
  </si>
  <si>
    <t>Cơ khí, điện, lập trình trong công nghiệp nặng</t>
  </si>
  <si>
    <t>25 đường số 3, Khu phố 20, An Khánh, HCM</t>
  </si>
  <si>
    <t>0984211881</t>
  </si>
  <si>
    <t>https://www.ims-gmbh.de/en/</t>
  </si>
  <si>
    <t>Mai Quốc Việt - giám đốc điều hành</t>
  </si>
  <si>
    <t>0984211881 - Viet.mai@ims-gmbh.de</t>
  </si>
  <si>
    <t>cơ hội liên kết với các anh chị khóa trước còn thấp</t>
  </si>
  <si>
    <t>khả năng liên kết của ngành cơ điện tử và các vị trí công việc trong doanh nghiệp. Ví dụ: Kỹ sư có điện tử có thể làm nhưng công việc nào. kỹ sư kinh doanh, quản lý sản xuất, kỹ sư tự động hóa.....</t>
  </si>
  <si>
    <t>Nên giãm bớt số lượng tín chỉ môn Kinh tế chính trị, tư tưởng Hồ Chí Minh, vật lý, hóa học đại cương.</t>
  </si>
  <si>
    <t>cơ sở dữ liệu, thực hành về mạng truyền thông công nghiệp (các chuẩn truyền thông: TCP/IP, Profinet, profibus,....), sinh viên nên làm quen trước với các tiêu chuẩn trong công nghiệp như ISO, TCVN... để tự tin hơn khi bắt đầu đi làm.</t>
  </si>
  <si>
    <t>nên tăng cường liên kết giữa nhà trường và doanh nghiệp để sinh viên có thể thực tập và làm bán thời gian từ năm 2. và nhà trường có thể đứng ra nhận các dự án, đề bài từ doanh nghiệp để sinh viên cùng làm.</t>
  </si>
  <si>
    <t>CÔNG TY TNHH TM &amp; DV V-94</t>
  </si>
  <si>
    <t>Sản xuất và cung cấp các hệ thống thiết bị Cơ ĐIện Tử, Tự Động Hóa</t>
  </si>
  <si>
    <t>27/7 Xuân Diệu, Đông Hòa, TP.HCM</t>
  </si>
  <si>
    <t>0977111342</t>
  </si>
  <si>
    <t>https://v94.vn/</t>
  </si>
  <si>
    <t>Trần Lê Bảo Vân</t>
  </si>
  <si>
    <t>0977111342 - vantlb@v94.vn</t>
  </si>
  <si>
    <t>50 (bao gồm nhân sự chính thức và thời vụ)</t>
  </si>
  <si>
    <t>30 (hiện đang tuyển bù thêm do 1 số nhân sự sau khi nhận bằng tốt nghiệp đã rời đi)</t>
  </si>
  <si>
    <t>Quản lý, Bộ phận sản xuất, Bộ phận đào tạo, Bộ phận kỹ thuật, Bộ phận thiết kế, Leader các dự án tổng hợp</t>
  </si>
  <si>
    <t>Nhìn chung hiền, dễ vào việc, chịu nghe lời, cần cù. chuyên môn không xuất sắc nhưng có hiểu biết đủ để vào việc.</t>
  </si>
  <si>
    <t>yếu tố tâm lý dễ bị ảnh hướng, tác động bởi môi trường làm việc, nhân sự khác. Cần có chính kiến và năng lực cá nhân trong môi trường làm việc tập thể.</t>
  </si>
  <si>
    <t>Cần đào tạo thêm các chuyên môn cụ thể khi làm việc.</t>
  </si>
  <si>
    <t>Cập nhật công nghệ chuyên môn mới, Bổ sung kỹ năng thực hành, Bổ sung kỹ năng mềm, Các lớp về quản trị, quản lý, Học và biết áp dụng AI Agent (qui mô doanh nghiệp) vào xử lý tăng giá trị công việc.</t>
  </si>
  <si>
    <t xml:space="preserve">Sinh viên Khoa Cơ khí có tiềm năng nhưng nhận diện thương hiệu hiện thấp do phần trình bày, truyền thông về năng lực và kết quả nghiên cứu của SV còn cơ bản.
Ví dụ:
- Các doanh nghiệp khi đến tham quan chủ yếu quan sát, đánh giá qua các kết quả nghiên cứu của SV thông qua các mô hình đề tài thực tế và các hình ảnh liên quan. Tuy nhiên, các mô hình đề tài thường do SV tự làm, mang tính sơ sài, ít chuyên nghiệp, dẫn đến doanh nghiệp ít xem trọng. Các đề tài SV thực hiện mặc dù mới mẻ với SV nhưng có thể không còn phù hợp trong thực tiễn; thay vì nghiên cứu làm lại cái đã vận hành, nên tìm hiểu hệ thống hiện có để nâng cấp và đưa ra các phương án vận hành, cải tiến. Như vậy sẽ mang lại hiệu quả hơn, tạo ra giá trị cao hơn; ra trường có thể vào việc nhanh gọn.
- Vấn đề này chủ yếu do tính tự phát của các đề tài mang tính học thuật và thể hiện một hướng nghiên cứu, ít thể hiện tính ứng dụng của đề tài vào thực tế các ngành nghề trong xã hội đang vận hành. Vì vậy, SV ra trường khi vào việc bị bỡ ngỡ trước các hệ thống, công nghệ, quy mô trong thực tế.
- Yếu tố còn lại là vấn đề chi phí để thực hiện các đề tài, mô hình. SV thường bị hạn chế về nguồn lực kinh phí; các nguồn lực hỗ trợ trong đào tạo cũng không nhiều và không dễ triển khai kịp thời.
- Cả hai vấn đề này đều có thể được giải quyết hiệu quả nếu có sự đồng hành cùng các doanh nghiệp phù hợp, nhất là các doanh nghiệp cần nghiên cứu đổi mới sáng tạo thường xuyên (hầu hết doanh nghiệp hiện nay đều xem đổi mới sáng tạo, ứng dụng công nghệ là yếu tố sống còn). Cụ thể có thể xử lý như sau:
Các đề tài SV nghiên cứu theo từng giai đoạn, từng học phần, đề tài tốt nghiệp có thể gắn liền với các hệ thống ở các doanh nghiệp, nhà xưởng. Hiện nay SV chỉ tiếp xúc với doanh nghiệp qua kỳ thực tập là quá ít để tiếp cận và nắm bắt.
Về chi phí: doanh nghiệp có nhiều khoản chi phí hỗ trợ cho SV nghiên cứu và làm đề tài nếu có cơ chế phối hợp với SV thông qua sự quản lý của các khoa và nhà trường. Khi SV làm đề tài có liên quan đến doanh nghiệp, hầu hết vật tư, thiết bị cần dùng dù chi phí khá cao nhưng hoàn toàn có thể được công ty hỗ trợ cho mượn hoặc cho luôn.
Kết quả mà công ty cần thu lại với hoạt động này chính là có đội ngũ nghiên cứu, khai phá các hướng đi mới, giải pháp mới cho hệ thống mà không ảnh hưởng đến hoạt động hiện tại; không cần chi quá nhiều cho đội ngũ chuyên môn ở các lĩnh vực chưa quá quan trọng. Đồng thời, công ty có sự nhìn nhận và đánh giá năng lực SV và có xu hướng muốn tuyển dụng các SV này vào làm việc luôn nếu phù hợp.
Về SV, lợi ích mà SV có được là nguồn tài trợ rất lớn về vật tư thiết bị, được huấn luyện và đào tạo các kỹ năng, kiến thức mới từ hệ thống thực tế để tiếp cận nhanh và nắm bắt theo thực tế.
Tóm lại, cần có sự kết nối thường xuyên giữa đào tạo và thực tiễn thông qua kết nối Nhà trường và Doanh nghiệp, chứ không chỉ là phần thực tập. Mỗi môn học cần làm đề tài hay báo cáo thì dùng kiến thức chuyên ngành của môn học áp dụng vào hệ thống thực tế tại doanh nghiệp để phân tích, đánh giá hơn là chỉ nói về lý thuyết. SV ra trường dễ tiếp cận ngay vào công việc, không bị hụt do sự chênh lệch giữa đào tạo và thực tế. Một hệ thống cơ điện tử tại doanh nghiệp có thể bóc tách ra thành nhiều thành phần cho từng giai đoạn báo cáo theo các môn chuyên ngành, và đến đề tài tốt nghiệp vẫn dùng được. Và chìa khóa cuối cùng là doanh nghiệp đủ tin cậy để mở cho SV tiếp cận các nguồn lực của công ty gồm chi phí, hệ thống, bí mật công nghệ họ đang nắm giữ.
Nếu cần thêm thông tin, khoa có thể tổ chức các buổi tham quan kiến tập tại các công ty liên quan để trao đổi sâu hơn về chủ đề này và các cơ chế hoạt động.
</t>
  </si>
  <si>
    <t>Các học phần mang tính lý thuyết không còn ứng dụng thực tế nữa hoặc đã lạc hậu, có nguy cơ bị thay thế bởi các hệ thống AI Agent hiện nay và trong tương lai</t>
  </si>
  <si>
    <t>Kỹ năng đánh giá, phân tích, nhận định được các công nghệ và kỹ thuật mới được ứng dụng trong các hệ thống cơ điện tử. Không hạn chế việc sử dụng A.I mà biết cách sử dụng A.I để tăng hiệu suất làm việc, khối lượng xử lý lớn hơn, giá trị tạo ra lớn hơn. Nhưng không phụ thuộc hoàn toàn vào các hệ thống A.I mà phải nắm được tài liệu, hệ thống cốt lõi để chủ động trong các tình huống.</t>
  </si>
  <si>
    <t>Cty TNHH SIP Việt Nam</t>
  </si>
  <si>
    <t>Thương mại máy móc lắp ráp điện tử và chế tạo máy</t>
  </si>
  <si>
    <t>Số 9 đường R, KĐT Lakeview, p Bình Trưng, TPHCM</t>
  </si>
  <si>
    <t>0967673233</t>
  </si>
  <si>
    <t>https://sip-technology.com/vietnam/</t>
  </si>
  <si>
    <t>Tô Hữu Thọ; Automation manager</t>
  </si>
  <si>
    <t>02</t>
  </si>
  <si>
    <t>Quản lý, Bộ phận thiết kế</t>
  </si>
  <si>
    <t>Tương đối cẩn thận trong quá trình làm việc</t>
  </si>
  <si>
    <t>Khả năng tiếng Anh, trải nghiệm thực tế</t>
  </si>
  <si>
    <t>Bổ sung kỹ năng thực hành, Bổ sung kỹ năng mềm</t>
  </si>
  <si>
    <t>Cần tìm cách cho sinh viên tiếp cận hoặc hiểu được môi trường làm việc thực tế như thế nào cũng như cách thức giao tiếp thông thường trong môi trường công ty để không bị bỡ ngỡ hoặc dễ mắc sai lầm khi vào môi trường làm việc thực tế</t>
  </si>
  <si>
    <t>BỘ LỌC THỐNG KÊ CHI TIẾT THEO NGÀNH ĐÀO TẠO</t>
  </si>
  <si>
    <t>Chọn ngành học ở ô C5 bên dưới để xem toàn bộ thông tin khảo sát tương ứng của ngành học đó.</t>
  </si>
  <si>
    <t>Chọn ngành học:</t>
  </si>
  <si>
    <t>TỔNG KHẢO SÁT CỦA NGÀNH</t>
  </si>
  <si>
    <t>DN TƯ NHÂN</t>
  </si>
  <si>
    <t>DN NƯỚC NGOÀI (FDI)</t>
  </si>
  <si>
    <t>ĐÁNH GIÁ CHẤT LƯỢNG KHÁ/TỐT</t>
  </si>
  <si>
    <t>I. ĐÁNH GIÁ CHẤT LƯỢNG CỰU SINH VIÊN CỦA NGÀNH (Thang điểm 1 - 5)</t>
  </si>
  <si>
    <t>II. ĐÁNH GIÁ CHUẨN ĐẦU RA (PLO) CỦA NGÀNH ĐƯỢC CHỌN</t>
  </si>
  <si>
    <t>Tiêu chí đánh giá</t>
  </si>
  <si>
    <t>Điểm trung bình của ngành</t>
  </si>
  <si>
    <t>PLO</t>
  </si>
  <si>
    <t>Mức độ phù hợp/cần thiết</t>
  </si>
  <si>
    <t>Kiến thức chuyên ngành</t>
  </si>
  <si>
    <t>PLO 1</t>
  </si>
  <si>
    <t>Khả năng ứng dụng kiến thức chuyên ngành vào thực tiễn</t>
  </si>
  <si>
    <t>PLO 2</t>
  </si>
  <si>
    <t>Khả năng cập nhật kiến thức mới</t>
  </si>
  <si>
    <t>PLO 3</t>
  </si>
  <si>
    <t>Kỹ năng chuyên môn nghề nghiệp</t>
  </si>
  <si>
    <t>PLO 4</t>
  </si>
  <si>
    <t>Khả năng sử dụng ngoại ngữ trong công việc</t>
  </si>
  <si>
    <t>PLO 5</t>
  </si>
  <si>
    <t>Kỹ năng tin học và sử dụng máy vi tính</t>
  </si>
  <si>
    <t>PLO 6</t>
  </si>
  <si>
    <t>Năng lực nghiên cứu, sáng tạo</t>
  </si>
  <si>
    <t>PLO 7</t>
  </si>
  <si>
    <t>Khả năng tư duy logic</t>
  </si>
  <si>
    <t>PLO 8</t>
  </si>
  <si>
    <t>Kỹ năng làm việc nhóm</t>
  </si>
  <si>
    <t>PLO 9</t>
  </si>
  <si>
    <t>Khả năng phân tích, phản biện</t>
  </si>
  <si>
    <t>PLO 10</t>
  </si>
  <si>
    <t>Khả năng tự lập, chủ động trong công việc</t>
  </si>
  <si>
    <t>PLO 11</t>
  </si>
  <si>
    <t>Kỹ năng giao tiếp và ứng xử</t>
  </si>
  <si>
    <t>PLO 12</t>
  </si>
  <si>
    <t>Ý thức chấp hành nội quy, quy định, kỷ luật lao động</t>
  </si>
  <si>
    <t>Khả năng chịu áp lực công việc và thích nghi với những thay đổi, kỹ năng kiểm soát bản thân</t>
  </si>
  <si>
    <t>ĐIỂM TRUNG BÌNH CHUNG</t>
  </si>
  <si>
    <t>III. THỜI GIAN HỘI NHẬP CÔNG VIỆC CỦA NGÀNH</t>
  </si>
  <si>
    <t>Thời gian hội nhập</t>
  </si>
  <si>
    <t>Số lượng</t>
  </si>
  <si>
    <t>IV. CHI TIẾT ĐÁNH GIÁ &amp; GÓP Ý CỦA CÁC DOANH NGHIỆP TRONG NGÀNH</t>
  </si>
  <si>
    <t>DASHBOARD THỐNG KÊ KHẢO SÁT Ý KIẾN DOANH NGHIỆP</t>
  </si>
  <si>
    <t>Về chương trình đào tạo &amp; chất lượng cựu sinh viên Khoa Cơ khí - Công nghệ, ĐH Nông Lâm TPHCM</t>
  </si>
  <si>
    <t>TỔNG DOANH NGHIỆP</t>
  </si>
  <si>
    <t>I. ĐÁNH GIÁ CHẤT LƯỢNG CỰU SINH VIÊN (Thang điểm 1 - 5)</t>
  </si>
  <si>
    <t>II. CƠ CẤU CHƯƠNG TRÌNH ĐÀO TẠO ĐƯỢC KHẢO SÁT</t>
  </si>
  <si>
    <t>Điểm trung bình</t>
  </si>
  <si>
    <t>Chương trình đào tạo (CTĐT)</t>
  </si>
  <si>
    <t>Tỷ lệ %</t>
  </si>
  <si>
    <t>Không xác định / Bỏ trống</t>
  </si>
  <si>
    <t>Tổng số</t>
  </si>
  <si>
    <t>III. THỜI GIAN HỘI NHẬP CÔNG VIỆC TRUNG BÌNH</t>
  </si>
  <si>
    <t>IV. ĐƠN VỊ PHÙ HỢP ĐỂ ĐÀO TẠO THÊM CÁC TIÊU CHÍ</t>
  </si>
  <si>
    <t>Tiêu chí cần đào tạo thêm</t>
  </si>
  <si>
    <t>Doanh nghiệp</t>
  </si>
  <si>
    <t>Không cần</t>
  </si>
  <si>
    <t>Khả năng ngoại ngữ</t>
  </si>
  <si>
    <t>Kỹ năng mềm</t>
  </si>
  <si>
    <t>Ý thức, thái độ và nhận thức về bản thân, công việc và xã hội</t>
  </si>
  <si>
    <t>PHÂN TÍCH CHUẨN ĐẦU RA (PLO) THEO TỪNG CHƯƠNG TRÌNH ĐÀO TẠO</t>
  </si>
  <si>
    <t>Mức độ cần thiết/phù hợp của PLO theo đánh giá của Doanh nghiệp (Thang điểm 1 - 5)</t>
  </si>
  <si>
    <t>Cơ khí Nông Lâm</t>
  </si>
  <si>
    <t>Cơ khí chế biến &amp; BQ</t>
  </si>
  <si>
    <t>Kỹ thuật Cơ khí NC</t>
  </si>
  <si>
    <t>Công nghệ Ô tô</t>
  </si>
  <si>
    <t>Cơ điện tử</t>
  </si>
  <si>
    <t>Nhiệt lạnh</t>
  </si>
  <si>
    <t>Tự động hóa</t>
  </si>
  <si>
    <t>Năng lượng tái tạo</t>
  </si>
  <si>
    <t>Số lượng khảo sát</t>
  </si>
  <si>
    <t>-</t>
  </si>
  <si>
    <t>TỔNG HỢP CÁC Ý KIẾN GÓP Ý &amp; ĐỀ XUẤT CỦA DOANH NGHIỆP</t>
  </si>
  <si>
    <t>Chi tiết các phản hồi mở về chương trình đào tạo và kỹ năng của sinh viên</t>
  </si>
  <si>
    <t>Ngành đào tạo đang chọn:</t>
  </si>
  <si>
    <t>Điểm mạnh khác</t>
  </si>
  <si>
    <t>Điểm yếu khác</t>
  </si>
  <si>
    <t>Học phần loại bỏ</t>
  </si>
  <si>
    <t>Học phần thêm vào</t>
  </si>
  <si>
    <t>Góp ý chuyên ngành</t>
  </si>
  <si>
    <t>Ý kiến đóng góp chung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</si>
</sst>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mm:ss"/>
    <numFmt numFmtId="165" formatCode="0.0%"/>
  </numFmts>
  <fonts count="12" x14ac:knownFonts="1">
    <font>
      <sz val="11"/>
      <color theme="1"/>
      <name val="Calibri"/>
      <family val="2"/>
      <scheme val="minor"/>
    </font>
    <font>
      <b/>
      <sz val="16"/>
      <color rgb="FF1B365D"/>
      <name val="Segoe UI"/>
    </font>
    <font>
      <i/>
      <sz val="10"/>
      <color rgb="FF666666"/>
      <name val="Segoe UI"/>
    </font>
    <font>
      <b/>
      <sz val="10"/>
      <color rgb="FF333333"/>
      <name val="Segoe UI"/>
    </font>
    <font>
      <b/>
      <sz val="11"/>
      <color rgb="FFFF5733"/>
      <name val="Segoe UI"/>
    </font>
    <font>
      <b/>
      <sz val="20"/>
      <color rgb="FF1B365D"/>
      <name val="Segoe UI"/>
    </font>
    <font>
      <b/>
      <sz val="9"/>
      <color rgb="FF555555"/>
      <name val="Segoe UI"/>
    </font>
    <font>
      <b/>
      <sz val="12"/>
      <color rgb="FF1B365D"/>
      <name val="Segoe UI"/>
    </font>
    <font>
      <b/>
      <sz val="10"/>
      <color rgb="FFFFFFFF"/>
      <name val="Segoe UI"/>
    </font>
    <font>
      <sz val="10"/>
      <color rgb="FF333333"/>
      <name val="Segoe UI"/>
    </font>
    <font>
      <b/>
      <sz val="10"/>
      <color rgb="FF1B365D"/>
      <name val="Segoe UI"/>
    </font>
    <font>
      <b/>
      <sz val="9"/>
      <color theme="1"/>
      <name val="Segoe UI"/>
      <family val="2"/>
    </font>
  </fonts>
  <fills count="6">
    <fill>
      <patternFill patternType="none"/>
    </fill>
    <fill>
      <patternFill patternType="gray125"/>
    </fill>
    <fill>
      <patternFill patternType="solid">
        <fgColor rgb="FFFFF2CC"/>
        <bgColor rgb="FFFFF2CC"/>
      </patternFill>
    </fill>
    <fill>
      <patternFill patternType="solid">
        <fgColor rgb="FFEAEFF5"/>
        <bgColor rgb="FFEAEFF5"/>
      </patternFill>
    </fill>
    <fill>
      <patternFill patternType="solid">
        <fgColor rgb="FF1B365D"/>
        <bgColor rgb="FF1B365D"/>
      </patternFill>
    </fill>
    <fill>
      <patternFill patternType="solid">
        <fgColor rgb="FFF2F5F8"/>
        <bgColor rgb="FFF2F5F8"/>
      </patternFill>
    </fill>
  </fills>
  <borders count="5">
    <border>
      <left/>
      <right/>
      <top/>
      <bottom/>
      <diagonal/>
    </border>
    <border>
      <left style="medium">
        <color rgb="FFFFC000"/>
      </left>
      <right style="medium">
        <color rgb="FFFFC000"/>
      </right>
      <top style="medium">
        <color rgb="FFFFC000"/>
      </top>
      <bottom style="medium">
        <color rgb="FFFFC000"/>
      </bottom>
      <diagonal/>
    </border>
    <border>
      <left style="thin">
        <color rgb="FFCCCCCC"/>
      </left>
      <right style="thin">
        <color rgb="FFCCCCCC"/>
      </right>
      <top style="thin">
        <color rgb="FFCCCCCC"/>
      </top>
      <bottom style="thin">
        <color rgb="FFCCCCCC"/>
      </bottom>
      <diagonal/>
    </border>
    <border>
      <left/>
      <right/>
      <top style="thin">
        <color rgb="FFCCCCCC"/>
      </top>
      <bottom style="double">
        <color rgb="FF1B365D"/>
      </bottom>
      <diagonal/>
    </border>
    <border>
      <left/>
      <right style="thin">
        <color rgb="FFCCCCCC"/>
      </right>
      <top style="thin">
        <color rgb="FFCCCCCC"/>
      </top>
      <bottom style="thin">
        <color rgb="FFCCCCCC"/>
      </bottom>
      <diagonal/>
    </border>
  </borders>
  <cellStyleXfs count="1">
    <xf numFmtId="0" fontId="0" fillId="0" borderId="0"/>
  </cellStyleXfs>
  <cellXfs count="37">
    <xf numFmtId="0" fontId="0" fillId="0" borderId="0" xfId="0"/>
    <xf numFmtId="164" fontId="0" fillId="0" borderId="0" xfId="0" applyNumberFormat="1"/>
    <xf numFmtId="0" fontId="1" fillId="0" borderId="0" xfId="0" applyFont="1"/>
    <xf numFmtId="0" fontId="2" fillId="0" borderId="0" xfId="0" applyFont="1"/>
    <xf numFmtId="0" fontId="3" fillId="0" borderId="0" xfId="0" applyFont="1"/>
    <xf numFmtId="0" fontId="4" fillId="2" borderId="1" xfId="0" applyFont="1" applyFill="1" applyBorder="1"/>
    <xf numFmtId="0" fontId="7" fillId="0" borderId="0" xfId="0" applyFont="1"/>
    <xf numFmtId="0" fontId="8" fillId="4" borderId="0" xfId="0" applyFont="1" applyFill="1"/>
    <xf numFmtId="0" fontId="8" fillId="4" borderId="0" xfId="0" applyFont="1" applyFill="1" applyAlignment="1">
      <alignment horizontal="center" vertical="center" wrapText="1"/>
    </xf>
    <xf numFmtId="0" fontId="9" fillId="0" borderId="2" xfId="0" applyFont="1" applyBorder="1"/>
    <xf numFmtId="2" fontId="3" fillId="0" borderId="2" xfId="0" applyNumberFormat="1" applyFont="1" applyBorder="1" applyAlignment="1">
      <alignment horizontal="center" vertical="center" wrapText="1"/>
    </xf>
    <xf numFmtId="0" fontId="9" fillId="0" borderId="2" xfId="0" applyFont="1" applyBorder="1" applyAlignment="1">
      <alignment horizontal="center" vertical="center" wrapText="1"/>
    </xf>
    <xf numFmtId="0" fontId="9" fillId="5" borderId="2" xfId="0" applyFont="1" applyFill="1" applyBorder="1"/>
    <xf numFmtId="2" fontId="3" fillId="5" borderId="2" xfId="0" applyNumberFormat="1" applyFont="1" applyFill="1" applyBorder="1" applyAlignment="1">
      <alignment horizontal="center" vertical="center" wrapText="1"/>
    </xf>
    <xf numFmtId="0" fontId="9" fillId="5" borderId="2" xfId="0" applyFont="1" applyFill="1" applyBorder="1" applyAlignment="1">
      <alignment horizontal="center" vertical="center" wrapText="1"/>
    </xf>
    <xf numFmtId="0" fontId="3" fillId="0" borderId="3" xfId="0" applyFont="1" applyBorder="1"/>
    <xf numFmtId="2" fontId="10" fillId="0" borderId="3" xfId="0" applyNumberFormat="1" applyFont="1" applyBorder="1" applyAlignment="1">
      <alignment horizontal="center" vertical="center" wrapText="1"/>
    </xf>
    <xf numFmtId="0" fontId="3" fillId="0" borderId="2" xfId="0" applyFont="1" applyBorder="1" applyAlignment="1">
      <alignment horizontal="center" vertical="center" wrapText="1"/>
    </xf>
    <xf numFmtId="0" fontId="3" fillId="5" borderId="2" xfId="0" applyFont="1" applyFill="1" applyBorder="1"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wrapText="1"/>
    </xf>
    <xf numFmtId="165" fontId="3" fillId="0" borderId="2" xfId="0" applyNumberFormat="1" applyFont="1" applyBorder="1" applyAlignment="1">
      <alignment horizontal="center" vertical="center" wrapText="1"/>
    </xf>
    <xf numFmtId="165" fontId="3" fillId="5" borderId="2" xfId="0" applyNumberFormat="1" applyFont="1" applyFill="1" applyBorder="1" applyAlignment="1">
      <alignment horizontal="center" vertical="center" wrapText="1"/>
    </xf>
    <xf numFmtId="0" fontId="3" fillId="0" borderId="3" xfId="0" applyFont="1" applyBorder="1" applyAlignment="1">
      <alignment horizontal="center" vertical="center" wrapText="1"/>
    </xf>
    <xf numFmtId="165" fontId="3" fillId="0" borderId="3" xfId="0" applyNumberFormat="1" applyFont="1" applyBorder="1" applyAlignment="1">
      <alignment horizontal="center" vertical="center" wrapText="1"/>
    </xf>
    <xf numFmtId="0" fontId="10" fillId="0" borderId="3" xfId="0" applyFont="1" applyBorder="1" applyAlignment="1">
      <alignment horizontal="center" vertical="center" wrapText="1"/>
    </xf>
    <xf numFmtId="165" fontId="9" fillId="0" borderId="2" xfId="0" applyNumberFormat="1" applyFont="1" applyBorder="1" applyAlignment="1">
      <alignment horizontal="center" vertical="center" wrapText="1"/>
    </xf>
    <xf numFmtId="165" fontId="9" fillId="5" borderId="2" xfId="0" applyNumberFormat="1" applyFont="1" applyFill="1" applyBorder="1" applyAlignment="1">
      <alignment horizontal="center" vertical="center" wrapText="1"/>
    </xf>
    <xf numFmtId="0" fontId="8" fillId="4" borderId="0" xfId="0" applyFont="1" applyFill="1" applyAlignment="1">
      <alignment horizontal="left" vertical="center" wrapText="1"/>
    </xf>
    <xf numFmtId="0" fontId="9" fillId="0" borderId="0" xfId="0" applyFont="1" applyAlignment="1">
      <alignment horizontal="left" vertical="center" wrapText="1"/>
    </xf>
    <xf numFmtId="0" fontId="0" fillId="0" borderId="0" xfId="0" applyAlignment="1">
      <alignment horizontal="left" vertical="center" wrapText="1"/>
    </xf>
    <xf numFmtId="0" fontId="0" fillId="0" borderId="0" xfId="0"/>
    <xf numFmtId="0" fontId="0" fillId="0" borderId="0" xfId="0" applyAlignment="1">
      <alignment horizontal="left" vertical="top" wrapText="1"/>
    </xf>
    <xf numFmtId="0" fontId="5" fillId="3" borderId="2" xfId="0" applyFont="1" applyFill="1" applyBorder="1" applyAlignment="1">
      <alignment horizontal="center" vertical="center" wrapText="1"/>
    </xf>
    <xf numFmtId="0" fontId="0" fillId="0" borderId="4" xfId="0" applyBorder="1"/>
    <xf numFmtId="0" fontId="6" fillId="3" borderId="2" xfId="0" applyFont="1" applyFill="1" applyBorder="1" applyAlignment="1">
      <alignment horizontal="center" vertical="center" wrapText="1"/>
    </xf>
    <xf numFmtId="0" fontId="7" fillId="0" borderId="0" xfId="0" applyFont="1"/>
  </cellXfs>
  <cellStyles count="1">
    <cellStyle name="Normal" xfId="0" builtinId="0"/>
  </cellStyles>
  <dxfs count="280">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2F5F8"/>
          <bgColor rgb="FFF2F5F8"/>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sz val="10"/>
        <color rgb="FF333333"/>
        <name val="Segoe UI"/>
      </font>
      <fill>
        <patternFill patternType="solid">
          <fgColor rgb="FFFFFFFF"/>
          <bgColor rgb="FFFFFFFF"/>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10"/>
        <color rgb="FFFFFFFF"/>
        <name val="Segoe UI"/>
      </font>
      <fill>
        <patternFill patternType="solid">
          <fgColor rgb="FF1B365D"/>
          <bgColor rgb="FF1B365D"/>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
      <font>
        <b/>
        <sz val="9"/>
        <color rgb="FF1B365D"/>
        <name val="Segoe UI"/>
      </font>
      <fill>
        <patternFill patternType="solid">
          <fgColor rgb="FFEAEFF5"/>
          <bgColor rgb="FFEAEFF5"/>
        </patternFill>
      </fill>
      <border>
        <left style="thin">
          <color rgb="FFCCCCCC"/>
        </left>
        <right style="thin">
          <color rgb="FFCCCCCC"/>
        </right>
        <top style="thin">
          <color rgb="FFCCCCCC"/>
        </top>
        <bottom style="thin">
          <color rgb="FFCCCCCC"/>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63500</xdr:colOff>
          <xdr:row>4</xdr:row>
          <xdr:rowOff>63500</xdr:rowOff>
        </xdr:from>
        <xdr:to>
          <xdr:col>13</xdr:col>
          <xdr:colOff>12700</xdr:colOff>
          <xdr:row>6</xdr:row>
          <xdr:rowOff>101600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61D47615-C5C8-262B-C78F-92ABBF16C33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900" b="1" i="0" u="none" strike="noStrike" baseline="0">
                  <a:solidFill>
                    <a:srgbClr val="000000"/>
                  </a:solidFill>
                  <a:latin typeface="Segoe UI"/>
                  <a:cs typeface="Segoe UI"/>
                </a:rPr>
                <a:t>ĐỒNG BỘ DỮ LIỆU</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C36"/>
  <sheetViews>
    <sheetView tabSelected="1" workbookViewId="0"/>
  </sheetViews>
  <sheetFormatPr defaultRowHeight="14.5" x14ac:dyDescent="0.35"/>
  <sheetData>
    <row r="1" spans="1:15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72</v>
      </c>
      <c r="BV1" t="s">
        <v>73</v>
      </c>
      <c r="BW1" t="s">
        <v>74</v>
      </c>
      <c r="BX1" t="s">
        <v>75</v>
      </c>
      <c r="BY1" t="s">
        <v>76</v>
      </c>
      <c r="BZ1" t="s">
        <v>77</v>
      </c>
      <c r="CA1" t="s">
        <v>78</v>
      </c>
      <c r="CB1" t="s">
        <v>79</v>
      </c>
      <c r="CC1" t="s">
        <v>80</v>
      </c>
      <c r="CD1" t="s">
        <v>81</v>
      </c>
      <c r="CE1" t="s">
        <v>82</v>
      </c>
      <c r="CF1" t="s">
        <v>83</v>
      </c>
      <c r="CG1" t="s">
        <v>84</v>
      </c>
      <c r="CH1" t="s">
        <v>85</v>
      </c>
      <c r="CI1" t="s">
        <v>86</v>
      </c>
      <c r="CJ1" t="s">
        <v>87</v>
      </c>
      <c r="CK1" t="s">
        <v>88</v>
      </c>
      <c r="CL1" t="s">
        <v>89</v>
      </c>
      <c r="CM1" t="s">
        <v>90</v>
      </c>
      <c r="CN1" t="s">
        <v>91</v>
      </c>
      <c r="CO1" t="s">
        <v>92</v>
      </c>
      <c r="CP1" t="s">
        <v>93</v>
      </c>
      <c r="CQ1" t="s">
        <v>94</v>
      </c>
      <c r="CR1" t="s">
        <v>95</v>
      </c>
      <c r="CS1" t="s">
        <v>96</v>
      </c>
      <c r="CT1" t="s">
        <v>97</v>
      </c>
      <c r="CU1" t="s">
        <v>98</v>
      </c>
      <c r="CV1" t="s">
        <v>99</v>
      </c>
      <c r="CW1" t="s">
        <v>100</v>
      </c>
      <c r="CX1" t="s">
        <v>101</v>
      </c>
      <c r="CY1" t="s">
        <v>102</v>
      </c>
      <c r="CZ1" t="s">
        <v>103</v>
      </c>
      <c r="DA1" t="s">
        <v>104</v>
      </c>
      <c r="DB1" t="s">
        <v>105</v>
      </c>
      <c r="DC1" t="s">
        <v>106</v>
      </c>
      <c r="DD1" t="s">
        <v>107</v>
      </c>
      <c r="DE1" t="s">
        <v>108</v>
      </c>
      <c r="DF1" t="s">
        <v>109</v>
      </c>
      <c r="DG1" t="s">
        <v>110</v>
      </c>
      <c r="DH1" t="s">
        <v>111</v>
      </c>
      <c r="DI1" t="s">
        <v>112</v>
      </c>
      <c r="DJ1" t="s">
        <v>113</v>
      </c>
      <c r="DK1" t="s">
        <v>114</v>
      </c>
      <c r="DL1" t="s">
        <v>115</v>
      </c>
      <c r="DM1" t="s">
        <v>116</v>
      </c>
      <c r="DN1" t="s">
        <v>117</v>
      </c>
      <c r="DO1" t="s">
        <v>118</v>
      </c>
      <c r="DP1" t="s">
        <v>119</v>
      </c>
      <c r="DQ1" t="s">
        <v>120</v>
      </c>
      <c r="DR1" t="s">
        <v>121</v>
      </c>
      <c r="DS1" t="s">
        <v>122</v>
      </c>
      <c r="DT1" t="s">
        <v>123</v>
      </c>
      <c r="DU1" t="s">
        <v>124</v>
      </c>
      <c r="DV1" t="s">
        <v>125</v>
      </c>
      <c r="DW1" t="s">
        <v>126</v>
      </c>
      <c r="DX1" t="s">
        <v>127</v>
      </c>
      <c r="DY1" t="s">
        <v>128</v>
      </c>
      <c r="DZ1" t="s">
        <v>129</v>
      </c>
      <c r="EA1" t="s">
        <v>130</v>
      </c>
      <c r="EB1" t="s">
        <v>131</v>
      </c>
      <c r="EC1" t="s">
        <v>132</v>
      </c>
      <c r="ED1" t="s">
        <v>133</v>
      </c>
      <c r="EE1" t="s">
        <v>134</v>
      </c>
      <c r="EF1" t="s">
        <v>135</v>
      </c>
      <c r="EG1" t="s">
        <v>136</v>
      </c>
      <c r="EH1" t="s">
        <v>137</v>
      </c>
      <c r="EI1" t="s">
        <v>138</v>
      </c>
      <c r="EJ1" t="s">
        <v>139</v>
      </c>
      <c r="EK1" t="s">
        <v>140</v>
      </c>
      <c r="EL1" t="s">
        <v>141</v>
      </c>
      <c r="EM1" t="s">
        <v>142</v>
      </c>
      <c r="EN1" t="s">
        <v>143</v>
      </c>
      <c r="EO1" t="s">
        <v>144</v>
      </c>
      <c r="EP1" t="s">
        <v>145</v>
      </c>
      <c r="EQ1" t="s">
        <v>146</v>
      </c>
      <c r="ER1" t="s">
        <v>147</v>
      </c>
      <c r="ES1" t="s">
        <v>148</v>
      </c>
      <c r="ET1" t="s">
        <v>149</v>
      </c>
      <c r="EU1" t="s">
        <v>150</v>
      </c>
      <c r="EV1" t="s">
        <v>151</v>
      </c>
      <c r="EW1" t="s">
        <v>152</v>
      </c>
      <c r="EX1" t="s">
        <v>153</v>
      </c>
      <c r="EY1" t="s">
        <v>154</v>
      </c>
      <c r="EZ1" t="s">
        <v>155</v>
      </c>
      <c r="FA1" t="s">
        <v>156</v>
      </c>
      <c r="FB1" t="s">
        <v>157</v>
      </c>
      <c r="FC1" t="s">
        <v>158</v>
      </c>
    </row>
    <row r="2" spans="1:159" x14ac:dyDescent="0.35">
      <c r="A2">
        <f>IF(AU2='Bộ lọc theo Ngành'!$C$5, MAX($A$1:A1)+1, "")</f>
        <v>1</v>
      </c>
      <c r="B2" s="1">
        <v>46100.430666666667</v>
      </c>
      <c r="C2" t="s">
        <v>159</v>
      </c>
      <c r="D2" t="s">
        <v>160</v>
      </c>
      <c r="E2" t="s">
        <v>161</v>
      </c>
      <c r="F2" t="s">
        <v>162</v>
      </c>
      <c r="G2" t="s">
        <v>163</v>
      </c>
      <c r="H2" t="s">
        <v>164</v>
      </c>
      <c r="I2" t="s">
        <v>165</v>
      </c>
      <c r="J2">
        <v>18</v>
      </c>
      <c r="K2" t="s">
        <v>166</v>
      </c>
      <c r="L2">
        <v>2</v>
      </c>
      <c r="M2" t="s">
        <v>167</v>
      </c>
      <c r="N2">
        <v>4</v>
      </c>
      <c r="O2">
        <v>4</v>
      </c>
      <c r="P2">
        <v>4</v>
      </c>
      <c r="Q2">
        <v>4</v>
      </c>
      <c r="R2">
        <v>3</v>
      </c>
      <c r="S2">
        <v>5</v>
      </c>
      <c r="T2">
        <v>4</v>
      </c>
      <c r="U2">
        <v>4</v>
      </c>
      <c r="V2">
        <v>4</v>
      </c>
      <c r="W2">
        <v>3</v>
      </c>
      <c r="X2">
        <v>4</v>
      </c>
      <c r="Y2">
        <v>3</v>
      </c>
      <c r="Z2">
        <v>4</v>
      </c>
      <c r="AA2">
        <v>4</v>
      </c>
      <c r="AD2">
        <v>0.5</v>
      </c>
      <c r="AE2" t="s">
        <v>168</v>
      </c>
      <c r="AF2" t="s">
        <v>169</v>
      </c>
      <c r="AG2" t="s">
        <v>170</v>
      </c>
      <c r="AH2" t="s">
        <v>170</v>
      </c>
      <c r="AI2" t="s">
        <v>170</v>
      </c>
      <c r="AJ2" t="s">
        <v>171</v>
      </c>
      <c r="AK2" t="s">
        <v>171</v>
      </c>
      <c r="AL2" t="s">
        <v>172</v>
      </c>
      <c r="AM2" t="s">
        <v>173</v>
      </c>
      <c r="AN2">
        <v>2</v>
      </c>
      <c r="AO2">
        <v>3</v>
      </c>
      <c r="AP2">
        <v>1</v>
      </c>
      <c r="AQ2">
        <v>5</v>
      </c>
      <c r="AR2">
        <v>4</v>
      </c>
      <c r="AS2">
        <v>6</v>
      </c>
      <c r="AT2" t="s">
        <v>174</v>
      </c>
      <c r="AU2" t="s">
        <v>175</v>
      </c>
      <c r="AV2">
        <v>4</v>
      </c>
      <c r="AW2">
        <v>4</v>
      </c>
      <c r="AX2">
        <v>4</v>
      </c>
      <c r="AY2">
        <v>4</v>
      </c>
      <c r="AZ2">
        <v>4</v>
      </c>
      <c r="BA2">
        <v>4</v>
      </c>
      <c r="BB2">
        <v>4</v>
      </c>
      <c r="BC2">
        <v>4</v>
      </c>
      <c r="BD2">
        <v>4</v>
      </c>
      <c r="BE2">
        <v>4</v>
      </c>
      <c r="BF2">
        <v>4</v>
      </c>
      <c r="BG2">
        <v>4</v>
      </c>
      <c r="EV2" t="s">
        <v>176</v>
      </c>
      <c r="EW2" t="s">
        <v>176</v>
      </c>
      <c r="EX2" t="s">
        <v>176</v>
      </c>
      <c r="EY2" t="s">
        <v>176</v>
      </c>
      <c r="EZ2" t="s">
        <v>176</v>
      </c>
    </row>
    <row r="3" spans="1:159" x14ac:dyDescent="0.35">
      <c r="A3" t="str">
        <f>IF(AU3='Bộ lọc theo Ngành'!$C$5, MAX($A$1:A2)+1, "")</f>
        <v/>
      </c>
      <c r="B3" s="1">
        <v>46100.468589837961</v>
      </c>
      <c r="C3" t="s">
        <v>177</v>
      </c>
      <c r="D3" t="s">
        <v>178</v>
      </c>
      <c r="F3" t="s">
        <v>179</v>
      </c>
      <c r="G3" t="s">
        <v>180</v>
      </c>
      <c r="H3" t="s">
        <v>181</v>
      </c>
      <c r="I3" t="s">
        <v>182</v>
      </c>
      <c r="J3">
        <v>95</v>
      </c>
      <c r="K3" t="s">
        <v>166</v>
      </c>
      <c r="L3">
        <v>2</v>
      </c>
      <c r="M3" t="s">
        <v>183</v>
      </c>
      <c r="N3">
        <v>4</v>
      </c>
      <c r="O3">
        <v>4</v>
      </c>
      <c r="P3">
        <v>4</v>
      </c>
      <c r="Q3">
        <v>4</v>
      </c>
      <c r="R3">
        <v>3</v>
      </c>
      <c r="S3">
        <v>4</v>
      </c>
      <c r="T3">
        <v>4</v>
      </c>
      <c r="U3">
        <v>3</v>
      </c>
      <c r="V3">
        <v>3</v>
      </c>
      <c r="W3">
        <v>4</v>
      </c>
      <c r="X3">
        <v>3</v>
      </c>
      <c r="Y3">
        <v>3</v>
      </c>
      <c r="Z3">
        <v>4</v>
      </c>
      <c r="AA3">
        <v>4</v>
      </c>
      <c r="AD3">
        <v>1</v>
      </c>
      <c r="AE3" t="s">
        <v>184</v>
      </c>
      <c r="AF3" t="s">
        <v>170</v>
      </c>
      <c r="AG3" t="s">
        <v>171</v>
      </c>
      <c r="AH3" t="s">
        <v>170</v>
      </c>
      <c r="AI3" t="s">
        <v>170</v>
      </c>
      <c r="AJ3" t="s">
        <v>170</v>
      </c>
      <c r="AK3" t="s">
        <v>170</v>
      </c>
      <c r="AL3" t="s">
        <v>185</v>
      </c>
      <c r="AM3" t="s">
        <v>186</v>
      </c>
      <c r="AN3">
        <v>4</v>
      </c>
      <c r="AO3">
        <v>6</v>
      </c>
      <c r="AP3">
        <v>6</v>
      </c>
      <c r="AQ3">
        <v>5</v>
      </c>
      <c r="AR3">
        <v>5</v>
      </c>
      <c r="AS3">
        <v>5</v>
      </c>
      <c r="AT3" t="s">
        <v>187</v>
      </c>
      <c r="AU3" t="s">
        <v>188</v>
      </c>
      <c r="BV3">
        <v>4</v>
      </c>
      <c r="BW3">
        <v>4</v>
      </c>
      <c r="BX3">
        <v>4</v>
      </c>
      <c r="BY3">
        <v>4</v>
      </c>
      <c r="BZ3">
        <v>3</v>
      </c>
      <c r="CA3">
        <v>4</v>
      </c>
      <c r="CB3">
        <v>4</v>
      </c>
      <c r="CC3">
        <v>4</v>
      </c>
      <c r="CD3">
        <v>3</v>
      </c>
      <c r="CE3">
        <v>3</v>
      </c>
      <c r="CF3">
        <v>4</v>
      </c>
      <c r="CG3">
        <v>3</v>
      </c>
      <c r="CH3" t="s">
        <v>189</v>
      </c>
      <c r="EV3" t="s">
        <v>190</v>
      </c>
      <c r="EW3" t="s">
        <v>190</v>
      </c>
      <c r="EX3" t="s">
        <v>190</v>
      </c>
      <c r="EY3" t="s">
        <v>190</v>
      </c>
      <c r="FB3" t="s">
        <v>191</v>
      </c>
      <c r="FC3" t="s">
        <v>192</v>
      </c>
    </row>
    <row r="4" spans="1:159" x14ac:dyDescent="0.35">
      <c r="A4" t="str">
        <f>IF(AU4='Bộ lọc theo Ngành'!$C$5, MAX($A$1:A3)+1, "")</f>
        <v/>
      </c>
      <c r="B4" s="1">
        <v>46100.474140428239</v>
      </c>
      <c r="C4" t="s">
        <v>193</v>
      </c>
      <c r="D4" t="s">
        <v>194</v>
      </c>
      <c r="E4" t="s">
        <v>195</v>
      </c>
      <c r="F4" t="s">
        <v>196</v>
      </c>
      <c r="G4" t="s">
        <v>197</v>
      </c>
      <c r="H4" t="s">
        <v>198</v>
      </c>
      <c r="I4" t="s">
        <v>196</v>
      </c>
      <c r="J4" t="s">
        <v>199</v>
      </c>
      <c r="K4" t="s">
        <v>166</v>
      </c>
      <c r="L4">
        <v>1</v>
      </c>
      <c r="M4" t="s">
        <v>200</v>
      </c>
      <c r="N4">
        <v>4</v>
      </c>
      <c r="O4">
        <v>4</v>
      </c>
      <c r="P4">
        <v>5</v>
      </c>
      <c r="Q4">
        <v>4</v>
      </c>
      <c r="R4">
        <v>4</v>
      </c>
      <c r="S4">
        <v>5</v>
      </c>
      <c r="T4">
        <v>5</v>
      </c>
      <c r="U4">
        <v>5</v>
      </c>
      <c r="V4">
        <v>5</v>
      </c>
      <c r="W4">
        <v>4</v>
      </c>
      <c r="X4">
        <v>5</v>
      </c>
      <c r="Y4">
        <v>5</v>
      </c>
      <c r="Z4">
        <v>5</v>
      </c>
      <c r="AA4">
        <v>5</v>
      </c>
      <c r="AB4" t="s">
        <v>201</v>
      </c>
      <c r="AC4" t="s">
        <v>202</v>
      </c>
      <c r="AD4">
        <v>0.8</v>
      </c>
      <c r="AE4" t="s">
        <v>203</v>
      </c>
      <c r="AF4" t="s">
        <v>170</v>
      </c>
      <c r="AG4" t="s">
        <v>171</v>
      </c>
      <c r="AH4" t="s">
        <v>170</v>
      </c>
      <c r="AI4" t="s">
        <v>170</v>
      </c>
      <c r="AJ4" t="s">
        <v>171</v>
      </c>
      <c r="AK4" t="s">
        <v>170</v>
      </c>
      <c r="AL4" t="s">
        <v>204</v>
      </c>
      <c r="AM4" t="s">
        <v>205</v>
      </c>
      <c r="AN4">
        <v>1</v>
      </c>
      <c r="AO4">
        <v>1</v>
      </c>
      <c r="AP4">
        <v>1</v>
      </c>
      <c r="AQ4">
        <v>2</v>
      </c>
      <c r="AR4">
        <v>1</v>
      </c>
      <c r="AS4">
        <v>2</v>
      </c>
      <c r="AT4" t="s">
        <v>187</v>
      </c>
      <c r="AU4" t="s">
        <v>206</v>
      </c>
      <c r="DV4">
        <v>4</v>
      </c>
      <c r="DW4">
        <v>4</v>
      </c>
      <c r="DX4">
        <v>4</v>
      </c>
      <c r="DY4">
        <v>4</v>
      </c>
      <c r="DZ4">
        <v>4</v>
      </c>
      <c r="EA4">
        <v>4</v>
      </c>
      <c r="EB4">
        <v>4</v>
      </c>
      <c r="EC4">
        <v>4</v>
      </c>
      <c r="ED4">
        <v>4</v>
      </c>
      <c r="EE4">
        <v>4</v>
      </c>
      <c r="EF4">
        <v>4</v>
      </c>
      <c r="EG4">
        <v>4</v>
      </c>
      <c r="EV4" t="s">
        <v>176</v>
      </c>
      <c r="EW4" t="s">
        <v>176</v>
      </c>
      <c r="EX4" t="s">
        <v>176</v>
      </c>
      <c r="EY4" t="s">
        <v>176</v>
      </c>
      <c r="EZ4" t="s">
        <v>176</v>
      </c>
      <c r="FA4" t="s">
        <v>207</v>
      </c>
    </row>
    <row r="5" spans="1:159" x14ac:dyDescent="0.35">
      <c r="A5" t="str">
        <f>IF(AU5='Bộ lọc theo Ngành'!$C$5, MAX($A$1:A4)+1, "")</f>
        <v/>
      </c>
      <c r="B5" s="1">
        <v>46100.598421388888</v>
      </c>
      <c r="C5" t="s">
        <v>208</v>
      </c>
      <c r="D5" t="s">
        <v>209</v>
      </c>
      <c r="E5" t="s">
        <v>210</v>
      </c>
      <c r="F5" t="s">
        <v>211</v>
      </c>
      <c r="G5" t="s">
        <v>212</v>
      </c>
      <c r="H5" t="s">
        <v>213</v>
      </c>
      <c r="I5" t="s">
        <v>211</v>
      </c>
      <c r="J5">
        <v>15</v>
      </c>
      <c r="K5" t="s">
        <v>166</v>
      </c>
      <c r="L5">
        <v>3</v>
      </c>
      <c r="M5" t="s">
        <v>214</v>
      </c>
      <c r="N5">
        <v>4</v>
      </c>
      <c r="O5">
        <v>4</v>
      </c>
      <c r="P5">
        <v>5</v>
      </c>
      <c r="Q5">
        <v>5</v>
      </c>
      <c r="R5">
        <v>3</v>
      </c>
      <c r="S5">
        <v>4</v>
      </c>
      <c r="T5">
        <v>5</v>
      </c>
      <c r="U5">
        <v>4</v>
      </c>
      <c r="V5">
        <v>4</v>
      </c>
      <c r="W5">
        <v>3</v>
      </c>
      <c r="X5">
        <v>4</v>
      </c>
      <c r="Y5">
        <v>3</v>
      </c>
      <c r="Z5">
        <v>5</v>
      </c>
      <c r="AA5">
        <v>4</v>
      </c>
      <c r="AB5" t="s">
        <v>215</v>
      </c>
      <c r="AC5" t="s">
        <v>216</v>
      </c>
      <c r="AD5" t="s">
        <v>217</v>
      </c>
      <c r="AE5" t="s">
        <v>218</v>
      </c>
      <c r="AF5" t="s">
        <v>169</v>
      </c>
      <c r="AG5" t="s">
        <v>171</v>
      </c>
      <c r="AH5" t="s">
        <v>170</v>
      </c>
      <c r="AI5" t="s">
        <v>170</v>
      </c>
      <c r="AJ5" t="s">
        <v>171</v>
      </c>
      <c r="AK5" t="s">
        <v>171</v>
      </c>
      <c r="AL5" t="s">
        <v>204</v>
      </c>
      <c r="AM5" t="s">
        <v>205</v>
      </c>
      <c r="AN5">
        <v>4</v>
      </c>
      <c r="AO5">
        <v>5</v>
      </c>
      <c r="AP5">
        <v>5</v>
      </c>
      <c r="AQ5">
        <v>6</v>
      </c>
      <c r="AR5">
        <v>6</v>
      </c>
      <c r="AS5">
        <v>6</v>
      </c>
      <c r="AT5" t="s">
        <v>174</v>
      </c>
      <c r="AU5" t="s">
        <v>206</v>
      </c>
      <c r="DV5">
        <v>4</v>
      </c>
      <c r="DW5">
        <v>4</v>
      </c>
      <c r="DX5">
        <v>4</v>
      </c>
      <c r="DY5">
        <v>4</v>
      </c>
      <c r="DZ5">
        <v>4</v>
      </c>
      <c r="EA5">
        <v>4</v>
      </c>
      <c r="EB5">
        <v>4</v>
      </c>
      <c r="EC5">
        <v>4</v>
      </c>
      <c r="ED5">
        <v>4</v>
      </c>
      <c r="EE5">
        <v>4</v>
      </c>
      <c r="EF5">
        <v>4</v>
      </c>
      <c r="EG5">
        <v>4</v>
      </c>
      <c r="EV5" t="s">
        <v>176</v>
      </c>
      <c r="EW5" t="s">
        <v>176</v>
      </c>
      <c r="EX5" t="s">
        <v>176</v>
      </c>
      <c r="EY5" t="s">
        <v>176</v>
      </c>
      <c r="EZ5" t="s">
        <v>176</v>
      </c>
    </row>
    <row r="6" spans="1:159" x14ac:dyDescent="0.35">
      <c r="A6" t="str">
        <f>IF(AU6='Bộ lọc theo Ngành'!$C$5, MAX($A$1:A5)+1, "")</f>
        <v/>
      </c>
      <c r="B6" s="1">
        <v>46102.805266203701</v>
      </c>
      <c r="C6" t="s">
        <v>219</v>
      </c>
      <c r="D6" t="s">
        <v>220</v>
      </c>
      <c r="E6" t="s">
        <v>221</v>
      </c>
      <c r="F6" t="s">
        <v>222</v>
      </c>
      <c r="H6" t="s">
        <v>223</v>
      </c>
      <c r="I6" t="s">
        <v>224</v>
      </c>
      <c r="J6">
        <v>10</v>
      </c>
      <c r="K6" t="s">
        <v>166</v>
      </c>
      <c r="L6">
        <v>5</v>
      </c>
      <c r="M6" t="s">
        <v>167</v>
      </c>
      <c r="N6">
        <v>4</v>
      </c>
      <c r="O6">
        <v>4</v>
      </c>
      <c r="P6">
        <v>5</v>
      </c>
      <c r="Q6">
        <v>4</v>
      </c>
      <c r="R6">
        <v>2</v>
      </c>
      <c r="S6">
        <v>4</v>
      </c>
      <c r="T6">
        <v>4</v>
      </c>
      <c r="U6">
        <v>4</v>
      </c>
      <c r="V6">
        <v>5</v>
      </c>
      <c r="W6">
        <v>4</v>
      </c>
      <c r="X6">
        <v>4</v>
      </c>
      <c r="Y6">
        <v>4</v>
      </c>
      <c r="Z6">
        <v>5</v>
      </c>
      <c r="AA6">
        <v>5</v>
      </c>
      <c r="AD6">
        <v>1</v>
      </c>
      <c r="AE6" t="s">
        <v>225</v>
      </c>
      <c r="AF6" t="s">
        <v>171</v>
      </c>
      <c r="AG6" t="s">
        <v>171</v>
      </c>
      <c r="AH6" t="s">
        <v>170</v>
      </c>
      <c r="AI6" t="s">
        <v>170</v>
      </c>
      <c r="AJ6" t="s">
        <v>171</v>
      </c>
      <c r="AK6" t="s">
        <v>171</v>
      </c>
      <c r="AL6" t="s">
        <v>172</v>
      </c>
      <c r="AM6" t="s">
        <v>173</v>
      </c>
      <c r="AN6">
        <v>6</v>
      </c>
      <c r="AO6">
        <v>5</v>
      </c>
      <c r="AP6">
        <v>6</v>
      </c>
      <c r="AQ6">
        <v>5</v>
      </c>
      <c r="AR6">
        <v>6</v>
      </c>
      <c r="AS6">
        <v>6</v>
      </c>
      <c r="AT6" t="s">
        <v>174</v>
      </c>
      <c r="AU6" t="s">
        <v>206</v>
      </c>
      <c r="DV6">
        <v>5</v>
      </c>
      <c r="DW6">
        <v>3</v>
      </c>
      <c r="DX6">
        <v>5</v>
      </c>
      <c r="DY6">
        <v>5</v>
      </c>
      <c r="DZ6">
        <v>4</v>
      </c>
      <c r="EA6">
        <v>4</v>
      </c>
      <c r="EB6">
        <v>5</v>
      </c>
      <c r="EC6">
        <v>5</v>
      </c>
      <c r="ED6">
        <v>5</v>
      </c>
      <c r="EE6">
        <v>5</v>
      </c>
      <c r="EF6">
        <v>3</v>
      </c>
      <c r="EG6">
        <v>3</v>
      </c>
      <c r="EV6" t="s">
        <v>226</v>
      </c>
      <c r="EW6" t="s">
        <v>226</v>
      </c>
      <c r="EX6" t="s">
        <v>226</v>
      </c>
      <c r="EY6" t="s">
        <v>226</v>
      </c>
      <c r="EZ6" t="s">
        <v>226</v>
      </c>
    </row>
    <row r="7" spans="1:159" x14ac:dyDescent="0.35">
      <c r="A7" t="str">
        <f>IF(AU7='Bộ lọc theo Ngành'!$C$5, MAX($A$1:A6)+1, "")</f>
        <v/>
      </c>
      <c r="B7" s="1">
        <v>46105.45259483796</v>
      </c>
      <c r="C7" t="s">
        <v>227</v>
      </c>
      <c r="D7" t="s">
        <v>228</v>
      </c>
      <c r="E7" t="s">
        <v>229</v>
      </c>
      <c r="F7" t="s">
        <v>230</v>
      </c>
      <c r="H7" t="s">
        <v>231</v>
      </c>
      <c r="I7" t="s">
        <v>232</v>
      </c>
      <c r="J7">
        <v>7000</v>
      </c>
      <c r="K7" t="s">
        <v>166</v>
      </c>
      <c r="L7">
        <v>10</v>
      </c>
      <c r="M7" t="s">
        <v>167</v>
      </c>
      <c r="N7">
        <v>5</v>
      </c>
      <c r="O7">
        <v>5</v>
      </c>
      <c r="P7">
        <v>5</v>
      </c>
      <c r="Q7">
        <v>5</v>
      </c>
      <c r="R7">
        <v>5</v>
      </c>
      <c r="S7">
        <v>5</v>
      </c>
      <c r="T7">
        <v>5</v>
      </c>
      <c r="U7">
        <v>5</v>
      </c>
      <c r="V7">
        <v>5</v>
      </c>
      <c r="W7">
        <v>5</v>
      </c>
      <c r="X7">
        <v>5</v>
      </c>
      <c r="Y7">
        <v>5</v>
      </c>
      <c r="Z7">
        <v>5</v>
      </c>
      <c r="AA7">
        <v>5</v>
      </c>
      <c r="AB7" t="s">
        <v>233</v>
      </c>
      <c r="AD7">
        <v>80</v>
      </c>
      <c r="AE7" t="s">
        <v>234</v>
      </c>
      <c r="AF7" t="s">
        <v>171</v>
      </c>
      <c r="AG7" t="s">
        <v>171</v>
      </c>
      <c r="AH7" t="s">
        <v>171</v>
      </c>
      <c r="AI7" t="s">
        <v>171</v>
      </c>
      <c r="AJ7" t="s">
        <v>171</v>
      </c>
      <c r="AK7" t="s">
        <v>171</v>
      </c>
      <c r="AL7" t="s">
        <v>235</v>
      </c>
      <c r="AM7" t="s">
        <v>205</v>
      </c>
      <c r="AN7">
        <v>6</v>
      </c>
      <c r="AO7">
        <v>6</v>
      </c>
      <c r="AP7">
        <v>6</v>
      </c>
      <c r="AQ7">
        <v>4</v>
      </c>
      <c r="AR7">
        <v>6</v>
      </c>
      <c r="AS7">
        <v>4</v>
      </c>
      <c r="AT7" t="s">
        <v>174</v>
      </c>
      <c r="AU7" t="s">
        <v>206</v>
      </c>
      <c r="DV7">
        <v>3</v>
      </c>
      <c r="DW7">
        <v>3</v>
      </c>
      <c r="DX7">
        <v>3</v>
      </c>
      <c r="DY7">
        <v>3</v>
      </c>
      <c r="DZ7">
        <v>3</v>
      </c>
      <c r="EA7">
        <v>3</v>
      </c>
      <c r="EB7">
        <v>3</v>
      </c>
      <c r="EC7">
        <v>3</v>
      </c>
      <c r="ED7">
        <v>3</v>
      </c>
      <c r="EE7">
        <v>3</v>
      </c>
      <c r="EF7">
        <v>3</v>
      </c>
      <c r="EG7">
        <v>3</v>
      </c>
      <c r="EV7" t="s">
        <v>176</v>
      </c>
      <c r="EW7" t="s">
        <v>176</v>
      </c>
      <c r="EX7" t="s">
        <v>176</v>
      </c>
      <c r="EY7" t="s">
        <v>176</v>
      </c>
      <c r="EZ7" t="s">
        <v>176</v>
      </c>
    </row>
    <row r="8" spans="1:159" x14ac:dyDescent="0.35">
      <c r="A8" t="str">
        <f>IF(AU8='Bộ lọc theo Ngành'!$C$5, MAX($A$1:A7)+1, "")</f>
        <v/>
      </c>
      <c r="B8" s="1">
        <v>46106.316464097217</v>
      </c>
      <c r="C8" t="s">
        <v>236</v>
      </c>
      <c r="D8" t="s">
        <v>237</v>
      </c>
      <c r="E8" t="s">
        <v>238</v>
      </c>
      <c r="F8" t="s">
        <v>239</v>
      </c>
      <c r="G8" t="s">
        <v>240</v>
      </c>
      <c r="H8" t="s">
        <v>241</v>
      </c>
      <c r="I8" t="s">
        <v>242</v>
      </c>
      <c r="J8" t="s">
        <v>243</v>
      </c>
      <c r="K8" t="s">
        <v>166</v>
      </c>
      <c r="L8" t="s">
        <v>244</v>
      </c>
      <c r="M8" t="s">
        <v>245</v>
      </c>
      <c r="N8">
        <v>4</v>
      </c>
      <c r="O8">
        <v>4</v>
      </c>
      <c r="P8">
        <v>4</v>
      </c>
      <c r="Q8">
        <v>4</v>
      </c>
      <c r="R8">
        <v>4</v>
      </c>
      <c r="S8">
        <v>4</v>
      </c>
      <c r="T8">
        <v>4</v>
      </c>
      <c r="U8">
        <v>4</v>
      </c>
      <c r="V8">
        <v>4</v>
      </c>
      <c r="W8">
        <v>4</v>
      </c>
      <c r="X8">
        <v>4</v>
      </c>
      <c r="Y8">
        <v>4</v>
      </c>
      <c r="Z8">
        <v>4</v>
      </c>
      <c r="AA8">
        <v>5</v>
      </c>
      <c r="AB8" t="s">
        <v>246</v>
      </c>
      <c r="AC8" t="s">
        <v>247</v>
      </c>
      <c r="AD8" t="s">
        <v>248</v>
      </c>
      <c r="AE8" t="s">
        <v>249</v>
      </c>
      <c r="AF8" t="s">
        <v>170</v>
      </c>
      <c r="AG8" t="s">
        <v>171</v>
      </c>
      <c r="AH8" t="s">
        <v>170</v>
      </c>
      <c r="AI8" t="s">
        <v>170</v>
      </c>
      <c r="AJ8" t="s">
        <v>171</v>
      </c>
      <c r="AK8" t="s">
        <v>171</v>
      </c>
      <c r="AL8" t="s">
        <v>172</v>
      </c>
      <c r="AM8" t="s">
        <v>173</v>
      </c>
      <c r="AN8">
        <v>5</v>
      </c>
      <c r="AO8">
        <v>6</v>
      </c>
      <c r="AP8">
        <v>5</v>
      </c>
      <c r="AQ8">
        <v>5</v>
      </c>
      <c r="AR8">
        <v>6</v>
      </c>
      <c r="AS8">
        <v>5</v>
      </c>
      <c r="AT8" t="s">
        <v>174</v>
      </c>
      <c r="AU8" t="s">
        <v>206</v>
      </c>
      <c r="DV8">
        <v>4</v>
      </c>
      <c r="DW8">
        <v>4</v>
      </c>
      <c r="DX8">
        <v>4</v>
      </c>
      <c r="DY8">
        <v>4</v>
      </c>
      <c r="DZ8">
        <v>4</v>
      </c>
      <c r="EA8">
        <v>4</v>
      </c>
      <c r="EB8">
        <v>4</v>
      </c>
      <c r="EC8">
        <v>4</v>
      </c>
      <c r="ED8">
        <v>4</v>
      </c>
      <c r="EE8">
        <v>4</v>
      </c>
      <c r="EF8">
        <v>4</v>
      </c>
      <c r="EG8">
        <v>4</v>
      </c>
      <c r="EV8" t="s">
        <v>176</v>
      </c>
      <c r="EW8" t="s">
        <v>176</v>
      </c>
      <c r="EX8" t="s">
        <v>226</v>
      </c>
      <c r="EY8" t="s">
        <v>176</v>
      </c>
      <c r="EZ8" t="s">
        <v>226</v>
      </c>
    </row>
    <row r="9" spans="1:159" x14ac:dyDescent="0.35">
      <c r="A9" t="str">
        <f>IF(AU9='Bộ lọc theo Ngành'!$C$5, MAX($A$1:A8)+1, "")</f>
        <v/>
      </c>
      <c r="B9" s="1">
        <v>46106.872050150458</v>
      </c>
      <c r="C9" t="s">
        <v>250</v>
      </c>
      <c r="D9" t="s">
        <v>251</v>
      </c>
      <c r="E9" t="s">
        <v>252</v>
      </c>
      <c r="H9" t="s">
        <v>253</v>
      </c>
    </row>
    <row r="10" spans="1:159" x14ac:dyDescent="0.35">
      <c r="A10">
        <f>IF(AU10='Bộ lọc theo Ngành'!$C$5, MAX($A$1:A9)+1, "")</f>
        <v>2</v>
      </c>
      <c r="B10" s="1">
        <v>46107.394369421287</v>
      </c>
      <c r="C10" t="s">
        <v>254</v>
      </c>
      <c r="D10" t="s">
        <v>255</v>
      </c>
      <c r="E10" t="s">
        <v>256</v>
      </c>
      <c r="F10" t="s">
        <v>257</v>
      </c>
      <c r="G10" t="s">
        <v>258</v>
      </c>
      <c r="H10" t="s">
        <v>259</v>
      </c>
      <c r="I10" t="s">
        <v>260</v>
      </c>
      <c r="J10">
        <v>3000</v>
      </c>
      <c r="K10" t="s">
        <v>166</v>
      </c>
      <c r="M10" t="s">
        <v>167</v>
      </c>
      <c r="N10">
        <v>3</v>
      </c>
      <c r="O10">
        <v>3</v>
      </c>
      <c r="P10">
        <v>4</v>
      </c>
      <c r="Q10">
        <v>3</v>
      </c>
      <c r="R10">
        <v>3</v>
      </c>
      <c r="S10">
        <v>4</v>
      </c>
      <c r="T10">
        <v>4</v>
      </c>
      <c r="U10">
        <v>4</v>
      </c>
      <c r="V10">
        <v>5</v>
      </c>
      <c r="W10">
        <v>4</v>
      </c>
      <c r="X10">
        <v>5</v>
      </c>
      <c r="Y10">
        <v>5</v>
      </c>
      <c r="Z10">
        <v>5</v>
      </c>
      <c r="AA10">
        <v>5</v>
      </c>
      <c r="AD10">
        <v>1</v>
      </c>
      <c r="AE10" t="s">
        <v>261</v>
      </c>
      <c r="AF10" t="s">
        <v>171</v>
      </c>
      <c r="AG10" t="s">
        <v>171</v>
      </c>
      <c r="AH10" t="s">
        <v>170</v>
      </c>
      <c r="AI10" t="s">
        <v>170</v>
      </c>
      <c r="AJ10" t="s">
        <v>171</v>
      </c>
      <c r="AK10" t="s">
        <v>170</v>
      </c>
      <c r="AL10" t="s">
        <v>204</v>
      </c>
      <c r="AM10" t="s">
        <v>173</v>
      </c>
      <c r="AN10">
        <v>3</v>
      </c>
      <c r="AO10">
        <v>5</v>
      </c>
      <c r="AP10">
        <v>3</v>
      </c>
      <c r="AQ10">
        <v>5</v>
      </c>
      <c r="AR10">
        <v>5</v>
      </c>
      <c r="AS10">
        <v>5</v>
      </c>
      <c r="AT10" t="s">
        <v>174</v>
      </c>
      <c r="AU10" t="s">
        <v>175</v>
      </c>
      <c r="AV10">
        <v>1</v>
      </c>
      <c r="AW10">
        <v>1</v>
      </c>
      <c r="AX10">
        <v>1</v>
      </c>
      <c r="AY10">
        <v>1</v>
      </c>
      <c r="AZ10">
        <v>1</v>
      </c>
      <c r="BA10">
        <v>5</v>
      </c>
      <c r="BB10">
        <v>5</v>
      </c>
      <c r="BC10">
        <v>1</v>
      </c>
      <c r="BD10">
        <v>1</v>
      </c>
      <c r="BE10">
        <v>1</v>
      </c>
      <c r="BF10">
        <v>1</v>
      </c>
      <c r="BG10">
        <v>3</v>
      </c>
      <c r="EV10" t="s">
        <v>176</v>
      </c>
      <c r="EW10" t="s">
        <v>226</v>
      </c>
      <c r="EX10" t="s">
        <v>226</v>
      </c>
      <c r="EY10" t="s">
        <v>226</v>
      </c>
      <c r="EZ10" t="s">
        <v>226</v>
      </c>
    </row>
    <row r="11" spans="1:159" x14ac:dyDescent="0.35">
      <c r="A11" t="str">
        <f>IF(AU11='Bộ lọc theo Ngành'!$C$5, MAX($A$1:A10)+1, "")</f>
        <v/>
      </c>
      <c r="B11" s="1">
        <v>46108.377325416674</v>
      </c>
    </row>
    <row r="12" spans="1:159" x14ac:dyDescent="0.35">
      <c r="A12" t="str">
        <f>IF(AU12='Bộ lọc theo Ngành'!$C$5, MAX($A$1:A11)+1, "")</f>
        <v/>
      </c>
      <c r="B12" s="1">
        <v>46108.438413750002</v>
      </c>
      <c r="C12" t="s">
        <v>262</v>
      </c>
      <c r="D12" t="s">
        <v>263</v>
      </c>
      <c r="E12" t="s">
        <v>264</v>
      </c>
      <c r="F12" t="s">
        <v>265</v>
      </c>
      <c r="G12" t="s">
        <v>266</v>
      </c>
      <c r="H12" t="s">
        <v>267</v>
      </c>
      <c r="I12" t="s">
        <v>268</v>
      </c>
      <c r="J12" t="s">
        <v>269</v>
      </c>
      <c r="K12" t="s">
        <v>166</v>
      </c>
      <c r="L12" t="s">
        <v>270</v>
      </c>
      <c r="M12" t="s">
        <v>271</v>
      </c>
      <c r="N12">
        <v>3</v>
      </c>
      <c r="O12">
        <v>3</v>
      </c>
      <c r="P12">
        <v>4</v>
      </c>
      <c r="Q12">
        <v>3</v>
      </c>
      <c r="R12">
        <v>3</v>
      </c>
      <c r="S12">
        <v>4</v>
      </c>
      <c r="T12">
        <v>4</v>
      </c>
      <c r="U12">
        <v>4</v>
      </c>
      <c r="V12">
        <v>4</v>
      </c>
      <c r="W12">
        <v>4</v>
      </c>
      <c r="X12">
        <v>2</v>
      </c>
      <c r="Y12">
        <v>3</v>
      </c>
      <c r="Z12">
        <v>3</v>
      </c>
      <c r="AA12">
        <v>2</v>
      </c>
      <c r="AB12" t="s">
        <v>272</v>
      </c>
      <c r="AC12" t="s">
        <v>273</v>
      </c>
      <c r="AD12">
        <v>0.3</v>
      </c>
      <c r="AE12" t="s">
        <v>274</v>
      </c>
      <c r="AF12" t="s">
        <v>170</v>
      </c>
      <c r="AG12" t="s">
        <v>171</v>
      </c>
      <c r="AH12" t="s">
        <v>170</v>
      </c>
      <c r="AI12" t="s">
        <v>170</v>
      </c>
      <c r="AJ12" t="s">
        <v>170</v>
      </c>
      <c r="AK12" t="s">
        <v>170</v>
      </c>
      <c r="AL12" t="s">
        <v>235</v>
      </c>
      <c r="AM12" t="s">
        <v>173</v>
      </c>
      <c r="AN12">
        <v>1</v>
      </c>
      <c r="AO12">
        <v>3</v>
      </c>
      <c r="AP12">
        <v>1</v>
      </c>
      <c r="AQ12">
        <v>5</v>
      </c>
      <c r="AR12">
        <v>1</v>
      </c>
      <c r="AS12">
        <v>5</v>
      </c>
      <c r="AT12" t="s">
        <v>174</v>
      </c>
      <c r="AU12" t="s">
        <v>275</v>
      </c>
      <c r="CV12">
        <v>4</v>
      </c>
      <c r="CW12">
        <v>2</v>
      </c>
      <c r="CX12">
        <v>5</v>
      </c>
      <c r="CY12">
        <v>5</v>
      </c>
      <c r="CZ12">
        <v>5</v>
      </c>
      <c r="DA12">
        <v>5</v>
      </c>
      <c r="DB12">
        <v>2</v>
      </c>
      <c r="DC12">
        <v>4</v>
      </c>
      <c r="DD12">
        <v>4</v>
      </c>
      <c r="DE12">
        <v>3</v>
      </c>
      <c r="DF12">
        <v>5</v>
      </c>
      <c r="DG12">
        <v>2</v>
      </c>
      <c r="DH12" t="s">
        <v>207</v>
      </c>
      <c r="EV12" t="s">
        <v>190</v>
      </c>
      <c r="EW12" t="s">
        <v>226</v>
      </c>
      <c r="EX12" t="s">
        <v>226</v>
      </c>
      <c r="EY12" t="s">
        <v>226</v>
      </c>
      <c r="EZ12" t="s">
        <v>190</v>
      </c>
      <c r="FA12" t="s">
        <v>276</v>
      </c>
      <c r="FB12" t="s">
        <v>277</v>
      </c>
      <c r="FC12" t="s">
        <v>278</v>
      </c>
    </row>
    <row r="13" spans="1:159" x14ac:dyDescent="0.35">
      <c r="A13" t="str">
        <f>IF(AU13='Bộ lọc theo Ngành'!$C$5, MAX($A$1:A12)+1, "")</f>
        <v/>
      </c>
      <c r="B13" s="1">
        <v>46108.463911377323</v>
      </c>
      <c r="C13" t="s">
        <v>279</v>
      </c>
      <c r="D13" t="s">
        <v>280</v>
      </c>
      <c r="E13" t="s">
        <v>281</v>
      </c>
      <c r="F13" t="s">
        <v>282</v>
      </c>
      <c r="G13" t="s">
        <v>283</v>
      </c>
      <c r="H13" t="s">
        <v>284</v>
      </c>
      <c r="I13" t="s">
        <v>285</v>
      </c>
      <c r="J13">
        <v>450</v>
      </c>
      <c r="K13" t="s">
        <v>166</v>
      </c>
      <c r="L13">
        <v>1</v>
      </c>
      <c r="M13" t="s">
        <v>286</v>
      </c>
      <c r="N13">
        <v>3</v>
      </c>
      <c r="O13">
        <v>3</v>
      </c>
      <c r="P13">
        <v>5</v>
      </c>
      <c r="Q13">
        <v>3</v>
      </c>
      <c r="R13">
        <v>3</v>
      </c>
      <c r="S13">
        <v>4</v>
      </c>
      <c r="T13">
        <v>5</v>
      </c>
      <c r="U13">
        <v>5</v>
      </c>
      <c r="V13">
        <v>4</v>
      </c>
      <c r="W13">
        <v>4</v>
      </c>
      <c r="X13">
        <v>3</v>
      </c>
      <c r="Y13">
        <v>4</v>
      </c>
      <c r="Z13">
        <v>5</v>
      </c>
      <c r="AA13">
        <v>5</v>
      </c>
      <c r="AC13" t="s">
        <v>287</v>
      </c>
      <c r="AD13" t="s">
        <v>288</v>
      </c>
      <c r="AE13" t="s">
        <v>289</v>
      </c>
      <c r="AF13" t="s">
        <v>170</v>
      </c>
      <c r="AG13" t="s">
        <v>171</v>
      </c>
      <c r="AH13" t="s">
        <v>170</v>
      </c>
      <c r="AI13" t="s">
        <v>170</v>
      </c>
      <c r="AJ13" t="s">
        <v>170</v>
      </c>
      <c r="AK13" t="s">
        <v>170</v>
      </c>
      <c r="AL13" t="s">
        <v>204</v>
      </c>
      <c r="AM13" t="s">
        <v>173</v>
      </c>
      <c r="AN13">
        <v>5</v>
      </c>
      <c r="AO13">
        <v>5</v>
      </c>
      <c r="AP13">
        <v>4</v>
      </c>
      <c r="AQ13">
        <v>4</v>
      </c>
      <c r="AR13">
        <v>6</v>
      </c>
      <c r="AS13">
        <v>4</v>
      </c>
      <c r="AT13" t="s">
        <v>187</v>
      </c>
      <c r="AU13" t="s">
        <v>206</v>
      </c>
      <c r="DV13">
        <v>5</v>
      </c>
      <c r="DW13">
        <v>3</v>
      </c>
      <c r="DX13">
        <v>4</v>
      </c>
      <c r="DY13">
        <v>3</v>
      </c>
      <c r="DZ13">
        <v>2</v>
      </c>
      <c r="EA13">
        <v>3</v>
      </c>
      <c r="EB13">
        <v>5</v>
      </c>
      <c r="EC13">
        <v>5</v>
      </c>
      <c r="ED13">
        <v>5</v>
      </c>
      <c r="EE13">
        <v>5</v>
      </c>
      <c r="EF13">
        <v>2</v>
      </c>
      <c r="EG13">
        <v>2</v>
      </c>
      <c r="EV13" t="s">
        <v>176</v>
      </c>
      <c r="EW13" t="s">
        <v>176</v>
      </c>
      <c r="EX13" t="s">
        <v>226</v>
      </c>
      <c r="EY13" t="s">
        <v>226</v>
      </c>
      <c r="EZ13" t="s">
        <v>176</v>
      </c>
    </row>
    <row r="14" spans="1:159" x14ac:dyDescent="0.35">
      <c r="A14" t="str">
        <f>IF(AU14='Bộ lọc theo Ngành'!$C$5, MAX($A$1:A13)+1, "")</f>
        <v/>
      </c>
      <c r="B14" s="1">
        <v>46108.683589988417</v>
      </c>
      <c r="C14" t="s">
        <v>290</v>
      </c>
      <c r="D14" t="s">
        <v>291</v>
      </c>
      <c r="E14" t="s">
        <v>292</v>
      </c>
      <c r="F14" t="s">
        <v>293</v>
      </c>
      <c r="G14" t="s">
        <v>294</v>
      </c>
      <c r="H14" t="s">
        <v>295</v>
      </c>
      <c r="I14" t="s">
        <v>296</v>
      </c>
      <c r="J14">
        <v>50</v>
      </c>
      <c r="K14" t="s">
        <v>297</v>
      </c>
      <c r="L14">
        <v>1</v>
      </c>
      <c r="M14" t="s">
        <v>286</v>
      </c>
      <c r="N14">
        <v>4</v>
      </c>
      <c r="O14">
        <v>4</v>
      </c>
      <c r="P14">
        <v>5</v>
      </c>
      <c r="Q14">
        <v>5</v>
      </c>
      <c r="R14">
        <v>5</v>
      </c>
      <c r="S14">
        <v>4</v>
      </c>
      <c r="T14">
        <v>4</v>
      </c>
      <c r="U14">
        <v>4</v>
      </c>
      <c r="V14">
        <v>4</v>
      </c>
      <c r="W14">
        <v>5</v>
      </c>
      <c r="X14">
        <v>5</v>
      </c>
      <c r="Y14">
        <v>5</v>
      </c>
      <c r="Z14">
        <v>5</v>
      </c>
      <c r="AA14">
        <v>5</v>
      </c>
      <c r="AD14">
        <v>1</v>
      </c>
      <c r="AE14" t="s">
        <v>203</v>
      </c>
      <c r="AF14" t="s">
        <v>170</v>
      </c>
      <c r="AG14" t="s">
        <v>171</v>
      </c>
      <c r="AH14" t="s">
        <v>170</v>
      </c>
      <c r="AI14" t="s">
        <v>170</v>
      </c>
      <c r="AJ14" t="s">
        <v>170</v>
      </c>
      <c r="AK14" t="s">
        <v>169</v>
      </c>
      <c r="AL14" t="s">
        <v>204</v>
      </c>
      <c r="AM14" t="s">
        <v>205</v>
      </c>
      <c r="AN14">
        <v>4</v>
      </c>
      <c r="AO14">
        <v>5</v>
      </c>
      <c r="AP14">
        <v>4</v>
      </c>
      <c r="AQ14">
        <v>5</v>
      </c>
      <c r="AR14">
        <v>4</v>
      </c>
      <c r="AS14">
        <v>5</v>
      </c>
      <c r="AT14" t="s">
        <v>174</v>
      </c>
      <c r="AU14" t="s">
        <v>275</v>
      </c>
      <c r="CV14">
        <v>5</v>
      </c>
      <c r="CW14">
        <v>5</v>
      </c>
      <c r="CX14">
        <v>5</v>
      </c>
      <c r="CY14">
        <v>4</v>
      </c>
      <c r="CZ14">
        <v>5</v>
      </c>
      <c r="DA14">
        <v>5</v>
      </c>
      <c r="DB14">
        <v>5</v>
      </c>
      <c r="DC14">
        <v>4</v>
      </c>
      <c r="DD14">
        <v>5</v>
      </c>
      <c r="DE14">
        <v>5</v>
      </c>
      <c r="DF14">
        <v>5</v>
      </c>
      <c r="DG14">
        <v>4</v>
      </c>
      <c r="EV14" t="s">
        <v>176</v>
      </c>
      <c r="EW14" t="s">
        <v>176</v>
      </c>
      <c r="EX14" t="s">
        <v>176</v>
      </c>
      <c r="EY14" t="s">
        <v>226</v>
      </c>
      <c r="EZ14" t="s">
        <v>226</v>
      </c>
      <c r="FB14" t="s">
        <v>298</v>
      </c>
    </row>
    <row r="15" spans="1:159" x14ac:dyDescent="0.35">
      <c r="A15" t="str">
        <f>IF(AU15='Bộ lọc theo Ngành'!$C$5, MAX($A$1:A14)+1, "")</f>
        <v/>
      </c>
      <c r="B15" s="1">
        <v>46109.355812581023</v>
      </c>
      <c r="C15" t="s">
        <v>299</v>
      </c>
      <c r="D15" t="s">
        <v>300</v>
      </c>
      <c r="E15" t="s">
        <v>301</v>
      </c>
      <c r="F15" t="s">
        <v>302</v>
      </c>
      <c r="H15" t="s">
        <v>303</v>
      </c>
      <c r="I15" t="s">
        <v>304</v>
      </c>
      <c r="J15">
        <v>6000</v>
      </c>
      <c r="K15" t="s">
        <v>297</v>
      </c>
      <c r="L15">
        <v>24</v>
      </c>
      <c r="M15" t="s">
        <v>305</v>
      </c>
      <c r="N15">
        <v>3</v>
      </c>
      <c r="O15">
        <v>3</v>
      </c>
      <c r="P15">
        <v>4</v>
      </c>
      <c r="Q15">
        <v>3</v>
      </c>
      <c r="R15">
        <v>2</v>
      </c>
      <c r="S15">
        <v>4</v>
      </c>
      <c r="T15">
        <v>4</v>
      </c>
      <c r="U15">
        <v>4</v>
      </c>
      <c r="V15">
        <v>4</v>
      </c>
      <c r="W15">
        <v>4</v>
      </c>
      <c r="X15">
        <v>3</v>
      </c>
      <c r="Y15">
        <v>4</v>
      </c>
      <c r="Z15">
        <v>4</v>
      </c>
      <c r="AA15">
        <v>3</v>
      </c>
      <c r="AD15" t="s">
        <v>306</v>
      </c>
      <c r="AE15" t="s">
        <v>307</v>
      </c>
      <c r="AF15" t="s">
        <v>171</v>
      </c>
      <c r="AG15" t="s">
        <v>171</v>
      </c>
      <c r="AH15" t="s">
        <v>170</v>
      </c>
      <c r="AI15" t="s">
        <v>170</v>
      </c>
      <c r="AJ15" t="s">
        <v>171</v>
      </c>
      <c r="AK15" t="s">
        <v>170</v>
      </c>
      <c r="AL15" t="s">
        <v>172</v>
      </c>
      <c r="AM15" t="s">
        <v>173</v>
      </c>
      <c r="AN15">
        <v>5</v>
      </c>
      <c r="AO15">
        <v>4</v>
      </c>
      <c r="AP15">
        <v>5</v>
      </c>
      <c r="AQ15">
        <v>6</v>
      </c>
      <c r="AR15">
        <v>6</v>
      </c>
      <c r="AS15">
        <v>4</v>
      </c>
      <c r="AT15" t="s">
        <v>174</v>
      </c>
      <c r="AU15" t="s">
        <v>206</v>
      </c>
      <c r="DV15">
        <v>4</v>
      </c>
      <c r="DW15">
        <v>3</v>
      </c>
      <c r="DX15">
        <v>5</v>
      </c>
      <c r="DY15">
        <v>4</v>
      </c>
      <c r="DZ15">
        <v>4</v>
      </c>
      <c r="EA15">
        <v>4</v>
      </c>
      <c r="EB15">
        <v>4</v>
      </c>
      <c r="EC15">
        <v>4</v>
      </c>
      <c r="ED15">
        <v>5</v>
      </c>
      <c r="EE15">
        <v>5</v>
      </c>
      <c r="EF15">
        <v>4</v>
      </c>
      <c r="EG15">
        <v>4</v>
      </c>
      <c r="EV15" t="s">
        <v>308</v>
      </c>
      <c r="EW15" t="s">
        <v>308</v>
      </c>
      <c r="EX15" t="s">
        <v>308</v>
      </c>
      <c r="EY15" t="s">
        <v>308</v>
      </c>
      <c r="EZ15" t="s">
        <v>308</v>
      </c>
    </row>
    <row r="16" spans="1:159" x14ac:dyDescent="0.35">
      <c r="A16" t="str">
        <f>IF(AU16='Bộ lọc theo Ngành'!$C$5, MAX($A$1:A15)+1, "")</f>
        <v/>
      </c>
      <c r="B16" s="1">
        <v>46110.387650393517</v>
      </c>
      <c r="C16" t="s">
        <v>309</v>
      </c>
      <c r="D16" t="s">
        <v>310</v>
      </c>
      <c r="E16" t="s">
        <v>311</v>
      </c>
      <c r="H16" t="s">
        <v>312</v>
      </c>
      <c r="I16" t="s">
        <v>313</v>
      </c>
      <c r="J16">
        <v>7</v>
      </c>
      <c r="K16" t="s">
        <v>297</v>
      </c>
      <c r="L16">
        <v>1</v>
      </c>
      <c r="M16" t="s">
        <v>314</v>
      </c>
      <c r="N16">
        <v>3</v>
      </c>
      <c r="O16">
        <v>2</v>
      </c>
      <c r="P16">
        <v>4</v>
      </c>
      <c r="Q16">
        <v>3</v>
      </c>
      <c r="R16">
        <v>1</v>
      </c>
      <c r="S16">
        <v>2</v>
      </c>
      <c r="T16">
        <v>2</v>
      </c>
      <c r="U16">
        <v>2</v>
      </c>
      <c r="V16">
        <v>2</v>
      </c>
      <c r="W16">
        <v>2</v>
      </c>
      <c r="X16">
        <v>3</v>
      </c>
      <c r="Y16">
        <v>3</v>
      </c>
      <c r="Z16">
        <v>4</v>
      </c>
      <c r="AA16">
        <v>4</v>
      </c>
      <c r="AB16" t="s">
        <v>315</v>
      </c>
      <c r="AC16" t="s">
        <v>316</v>
      </c>
      <c r="AD16">
        <v>1</v>
      </c>
      <c r="AE16" t="s">
        <v>317</v>
      </c>
      <c r="AF16" t="s">
        <v>170</v>
      </c>
      <c r="AG16" t="s">
        <v>171</v>
      </c>
      <c r="AH16" t="s">
        <v>170</v>
      </c>
      <c r="AI16" t="s">
        <v>171</v>
      </c>
      <c r="AJ16" t="s">
        <v>170</v>
      </c>
      <c r="AK16" t="s">
        <v>170</v>
      </c>
      <c r="AL16" t="s">
        <v>204</v>
      </c>
      <c r="AM16" t="s">
        <v>173</v>
      </c>
      <c r="AN16">
        <v>3</v>
      </c>
      <c r="AO16">
        <v>4</v>
      </c>
      <c r="AP16">
        <v>4</v>
      </c>
      <c r="AQ16">
        <v>4</v>
      </c>
      <c r="AR16">
        <v>4</v>
      </c>
      <c r="AS16">
        <v>4</v>
      </c>
      <c r="AT16" t="s">
        <v>187</v>
      </c>
      <c r="AU16" t="s">
        <v>275</v>
      </c>
      <c r="CV16">
        <v>2</v>
      </c>
      <c r="CW16">
        <v>3</v>
      </c>
      <c r="CX16">
        <v>2</v>
      </c>
      <c r="CY16">
        <v>4</v>
      </c>
      <c r="CZ16">
        <v>4</v>
      </c>
      <c r="DA16">
        <v>4</v>
      </c>
      <c r="DB16">
        <v>4</v>
      </c>
      <c r="DC16">
        <v>3</v>
      </c>
      <c r="DD16">
        <v>4</v>
      </c>
      <c r="DE16">
        <v>3</v>
      </c>
      <c r="DF16">
        <v>4</v>
      </c>
      <c r="DG16">
        <v>3</v>
      </c>
      <c r="DH16" t="s">
        <v>318</v>
      </c>
      <c r="EV16" t="s">
        <v>308</v>
      </c>
      <c r="EW16" t="s">
        <v>190</v>
      </c>
      <c r="EX16" t="s">
        <v>308</v>
      </c>
      <c r="EY16" t="s">
        <v>176</v>
      </c>
      <c r="EZ16" t="s">
        <v>308</v>
      </c>
      <c r="FB16" t="s">
        <v>319</v>
      </c>
      <c r="FC16" t="s">
        <v>320</v>
      </c>
    </row>
    <row r="17" spans="1:159" x14ac:dyDescent="0.35">
      <c r="A17" t="str">
        <f>IF(AU17='Bộ lọc theo Ngành'!$C$5, MAX($A$1:A16)+1, "")</f>
        <v/>
      </c>
      <c r="B17" s="1">
        <v>46113.467997395826</v>
      </c>
      <c r="C17" t="s">
        <v>321</v>
      </c>
      <c r="D17" t="s">
        <v>322</v>
      </c>
      <c r="E17" t="s">
        <v>323</v>
      </c>
      <c r="F17" t="s">
        <v>324</v>
      </c>
      <c r="J17" t="s">
        <v>325</v>
      </c>
      <c r="K17" t="s">
        <v>166</v>
      </c>
      <c r="L17">
        <v>5</v>
      </c>
      <c r="M17" t="s">
        <v>326</v>
      </c>
      <c r="N17">
        <v>3</v>
      </c>
      <c r="O17">
        <v>3</v>
      </c>
      <c r="P17">
        <v>3</v>
      </c>
      <c r="Q17">
        <v>3</v>
      </c>
      <c r="R17">
        <v>2</v>
      </c>
      <c r="S17">
        <v>4</v>
      </c>
      <c r="T17">
        <v>3</v>
      </c>
      <c r="U17">
        <v>2</v>
      </c>
      <c r="V17">
        <v>3</v>
      </c>
      <c r="W17">
        <v>3</v>
      </c>
      <c r="X17">
        <v>3</v>
      </c>
      <c r="Y17">
        <v>3</v>
      </c>
      <c r="Z17">
        <v>5</v>
      </c>
      <c r="AA17">
        <v>4</v>
      </c>
      <c r="AB17" t="s">
        <v>327</v>
      </c>
      <c r="AC17" t="s">
        <v>328</v>
      </c>
      <c r="AD17">
        <v>1</v>
      </c>
      <c r="AE17" t="s">
        <v>329</v>
      </c>
      <c r="AF17" t="s">
        <v>170</v>
      </c>
      <c r="AG17" t="s">
        <v>171</v>
      </c>
      <c r="AH17" t="s">
        <v>170</v>
      </c>
      <c r="AI17" t="s">
        <v>170</v>
      </c>
      <c r="AJ17" t="s">
        <v>170</v>
      </c>
      <c r="AK17" t="s">
        <v>170</v>
      </c>
      <c r="AL17" t="s">
        <v>172</v>
      </c>
      <c r="AM17" t="s">
        <v>173</v>
      </c>
      <c r="AN17">
        <v>1</v>
      </c>
      <c r="AO17">
        <v>2</v>
      </c>
      <c r="AP17">
        <v>3</v>
      </c>
      <c r="AQ17">
        <v>2</v>
      </c>
      <c r="AR17">
        <v>1</v>
      </c>
      <c r="AS17">
        <v>1</v>
      </c>
      <c r="AT17" t="s">
        <v>174</v>
      </c>
      <c r="AU17" t="s">
        <v>330</v>
      </c>
      <c r="DI17">
        <v>4</v>
      </c>
      <c r="DJ17">
        <v>4</v>
      </c>
      <c r="DK17">
        <v>4</v>
      </c>
      <c r="DL17">
        <v>4</v>
      </c>
      <c r="DM17">
        <v>4</v>
      </c>
      <c r="DN17">
        <v>4</v>
      </c>
      <c r="DO17">
        <v>4</v>
      </c>
      <c r="DP17">
        <v>4</v>
      </c>
      <c r="DQ17">
        <v>4</v>
      </c>
      <c r="DR17">
        <v>4</v>
      </c>
      <c r="DS17">
        <v>4</v>
      </c>
      <c r="DT17">
        <v>4</v>
      </c>
      <c r="DU17" t="s">
        <v>331</v>
      </c>
      <c r="EV17" t="s">
        <v>176</v>
      </c>
      <c r="EW17" t="s">
        <v>176</v>
      </c>
      <c r="EX17" t="s">
        <v>176</v>
      </c>
      <c r="EY17" t="s">
        <v>176</v>
      </c>
      <c r="EZ17" t="s">
        <v>176</v>
      </c>
    </row>
    <row r="18" spans="1:159" x14ac:dyDescent="0.35">
      <c r="A18" t="str">
        <f>IF(AU18='Bộ lọc theo Ngành'!$C$5, MAX($A$1:A17)+1, "")</f>
        <v/>
      </c>
      <c r="B18" s="1">
        <v>46113.884576736113</v>
      </c>
      <c r="C18" t="s">
        <v>332</v>
      </c>
      <c r="D18" t="s">
        <v>333</v>
      </c>
      <c r="E18" t="s">
        <v>334</v>
      </c>
      <c r="F18" t="s">
        <v>335</v>
      </c>
      <c r="G18" t="s">
        <v>336</v>
      </c>
      <c r="H18" t="s">
        <v>337</v>
      </c>
      <c r="I18" t="s">
        <v>338</v>
      </c>
      <c r="J18" t="s">
        <v>339</v>
      </c>
      <c r="K18" t="s">
        <v>166</v>
      </c>
      <c r="L18">
        <v>3</v>
      </c>
      <c r="M18" t="s">
        <v>340</v>
      </c>
      <c r="N18">
        <v>4</v>
      </c>
      <c r="O18">
        <v>4</v>
      </c>
      <c r="P18">
        <v>5</v>
      </c>
      <c r="Q18">
        <v>4</v>
      </c>
      <c r="R18">
        <v>3</v>
      </c>
      <c r="S18">
        <v>3</v>
      </c>
      <c r="T18">
        <v>4</v>
      </c>
      <c r="U18">
        <v>4</v>
      </c>
      <c r="V18">
        <v>4</v>
      </c>
      <c r="W18">
        <v>4</v>
      </c>
      <c r="X18">
        <v>4</v>
      </c>
      <c r="Y18">
        <v>4</v>
      </c>
      <c r="Z18">
        <v>5</v>
      </c>
      <c r="AA18">
        <v>4</v>
      </c>
      <c r="AB18" t="s">
        <v>341</v>
      </c>
      <c r="AC18" t="s">
        <v>342</v>
      </c>
      <c r="AD18" t="s">
        <v>343</v>
      </c>
      <c r="AE18" t="s">
        <v>184</v>
      </c>
      <c r="AF18" t="s">
        <v>171</v>
      </c>
      <c r="AG18" t="s">
        <v>169</v>
      </c>
      <c r="AH18" t="s">
        <v>169</v>
      </c>
      <c r="AI18" t="s">
        <v>170</v>
      </c>
      <c r="AJ18" t="s">
        <v>171</v>
      </c>
      <c r="AK18" t="s">
        <v>170</v>
      </c>
      <c r="AL18" t="s">
        <v>204</v>
      </c>
      <c r="AM18" t="s">
        <v>173</v>
      </c>
      <c r="AN18">
        <v>3</v>
      </c>
      <c r="AO18">
        <v>4</v>
      </c>
      <c r="AP18">
        <v>4</v>
      </c>
      <c r="AQ18">
        <v>4</v>
      </c>
      <c r="AR18">
        <v>4</v>
      </c>
      <c r="AS18">
        <v>4</v>
      </c>
      <c r="AT18" t="s">
        <v>174</v>
      </c>
      <c r="AU18" t="s">
        <v>206</v>
      </c>
      <c r="DV18">
        <v>4</v>
      </c>
      <c r="DW18">
        <v>4</v>
      </c>
      <c r="DX18">
        <v>4</v>
      </c>
      <c r="DY18">
        <v>4</v>
      </c>
      <c r="DZ18">
        <v>4</v>
      </c>
      <c r="EA18">
        <v>4</v>
      </c>
      <c r="EB18">
        <v>4</v>
      </c>
      <c r="EC18">
        <v>4</v>
      </c>
      <c r="ED18">
        <v>4</v>
      </c>
      <c r="EE18">
        <v>4</v>
      </c>
      <c r="EF18">
        <v>4</v>
      </c>
      <c r="EG18">
        <v>4</v>
      </c>
      <c r="EH18" t="s">
        <v>344</v>
      </c>
      <c r="EV18" t="s">
        <v>176</v>
      </c>
      <c r="EX18" t="s">
        <v>176</v>
      </c>
      <c r="EY18" t="s">
        <v>176</v>
      </c>
      <c r="EZ18" t="s">
        <v>176</v>
      </c>
      <c r="FA18" t="s">
        <v>345</v>
      </c>
      <c r="FB18" t="s">
        <v>346</v>
      </c>
      <c r="FC18" t="s">
        <v>347</v>
      </c>
    </row>
    <row r="19" spans="1:159" x14ac:dyDescent="0.35">
      <c r="A19" t="str">
        <f>IF(AU19='Bộ lọc theo Ngành'!$C$5, MAX($A$1:A18)+1, "")</f>
        <v/>
      </c>
      <c r="B19" s="1">
        <v>46113.948759467603</v>
      </c>
      <c r="C19" t="s">
        <v>348</v>
      </c>
      <c r="D19" t="s">
        <v>349</v>
      </c>
      <c r="E19" t="s">
        <v>350</v>
      </c>
      <c r="J19">
        <v>400</v>
      </c>
      <c r="K19" t="s">
        <v>297</v>
      </c>
      <c r="L19">
        <v>0.1</v>
      </c>
      <c r="M19" t="s">
        <v>351</v>
      </c>
      <c r="N19">
        <v>4</v>
      </c>
      <c r="O19">
        <v>4</v>
      </c>
      <c r="P19">
        <v>4</v>
      </c>
      <c r="Q19">
        <v>4</v>
      </c>
      <c r="R19">
        <v>4</v>
      </c>
      <c r="S19">
        <v>4</v>
      </c>
      <c r="T19">
        <v>4</v>
      </c>
      <c r="U19">
        <v>4</v>
      </c>
      <c r="V19">
        <v>4</v>
      </c>
      <c r="W19">
        <v>4</v>
      </c>
      <c r="X19">
        <v>4</v>
      </c>
      <c r="Y19">
        <v>4</v>
      </c>
      <c r="Z19">
        <v>4</v>
      </c>
      <c r="AA19">
        <v>4</v>
      </c>
      <c r="AE19" t="s">
        <v>352</v>
      </c>
      <c r="AF19" t="s">
        <v>170</v>
      </c>
      <c r="AG19" t="s">
        <v>170</v>
      </c>
      <c r="AH19" t="s">
        <v>170</v>
      </c>
      <c r="AI19" t="s">
        <v>170</v>
      </c>
      <c r="AJ19" t="s">
        <v>170</v>
      </c>
      <c r="AL19" t="s">
        <v>235</v>
      </c>
      <c r="AM19" t="s">
        <v>173</v>
      </c>
      <c r="AN19">
        <v>6</v>
      </c>
      <c r="AO19">
        <v>5</v>
      </c>
      <c r="AP19">
        <v>6</v>
      </c>
      <c r="AQ19">
        <v>5</v>
      </c>
      <c r="AR19">
        <v>6</v>
      </c>
      <c r="AS19">
        <v>6</v>
      </c>
      <c r="AT19" t="s">
        <v>174</v>
      </c>
      <c r="AU19" t="s">
        <v>330</v>
      </c>
      <c r="DK19">
        <v>4</v>
      </c>
      <c r="DL19">
        <v>4</v>
      </c>
      <c r="DM19">
        <v>4</v>
      </c>
      <c r="DN19">
        <v>4</v>
      </c>
      <c r="DO19">
        <v>4</v>
      </c>
      <c r="DP19">
        <v>4</v>
      </c>
      <c r="DQ19">
        <v>4</v>
      </c>
      <c r="DS19">
        <v>4</v>
      </c>
      <c r="EV19" t="s">
        <v>176</v>
      </c>
      <c r="EW19" t="s">
        <v>176</v>
      </c>
      <c r="EX19" t="s">
        <v>176</v>
      </c>
      <c r="EY19" t="s">
        <v>176</v>
      </c>
      <c r="EZ19" t="s">
        <v>176</v>
      </c>
      <c r="FB19" t="s">
        <v>353</v>
      </c>
    </row>
    <row r="20" spans="1:159" x14ac:dyDescent="0.35">
      <c r="A20" t="str">
        <f>IF(AU20='Bộ lọc theo Ngành'!$C$5, MAX($A$1:A19)+1, "")</f>
        <v/>
      </c>
      <c r="B20" s="1">
        <v>46118.630353877314</v>
      </c>
      <c r="C20" t="s">
        <v>354</v>
      </c>
      <c r="D20" t="s">
        <v>355</v>
      </c>
      <c r="E20" t="s">
        <v>356</v>
      </c>
      <c r="H20" t="s">
        <v>357</v>
      </c>
      <c r="J20">
        <v>30</v>
      </c>
      <c r="K20" t="s">
        <v>166</v>
      </c>
      <c r="L20">
        <v>3</v>
      </c>
      <c r="M20" t="s">
        <v>167</v>
      </c>
      <c r="N20">
        <v>4</v>
      </c>
      <c r="O20">
        <v>5</v>
      </c>
      <c r="P20">
        <v>4</v>
      </c>
      <c r="Q20">
        <v>5</v>
      </c>
      <c r="R20">
        <v>4</v>
      </c>
      <c r="S20">
        <v>5</v>
      </c>
      <c r="T20">
        <v>4</v>
      </c>
      <c r="U20">
        <v>5</v>
      </c>
      <c r="V20">
        <v>4</v>
      </c>
      <c r="W20">
        <v>5</v>
      </c>
      <c r="X20">
        <v>4</v>
      </c>
      <c r="Y20">
        <v>5</v>
      </c>
      <c r="Z20">
        <v>5</v>
      </c>
      <c r="AA20">
        <v>5</v>
      </c>
      <c r="AF20" t="s">
        <v>171</v>
      </c>
      <c r="AG20" t="s">
        <v>171</v>
      </c>
      <c r="AH20" t="s">
        <v>170</v>
      </c>
      <c r="AI20" t="s">
        <v>171</v>
      </c>
      <c r="AJ20" t="s">
        <v>171</v>
      </c>
      <c r="AK20" t="s">
        <v>171</v>
      </c>
      <c r="AL20" t="s">
        <v>204</v>
      </c>
      <c r="AM20" t="s">
        <v>205</v>
      </c>
      <c r="AN20">
        <v>5</v>
      </c>
      <c r="AO20">
        <v>5</v>
      </c>
      <c r="AP20">
        <v>5</v>
      </c>
      <c r="AQ20">
        <v>5</v>
      </c>
      <c r="AR20">
        <v>5</v>
      </c>
      <c r="AS20">
        <v>5</v>
      </c>
      <c r="AT20" t="s">
        <v>174</v>
      </c>
      <c r="AU20" t="s">
        <v>275</v>
      </c>
      <c r="CV20">
        <v>4</v>
      </c>
      <c r="CW20">
        <v>4</v>
      </c>
      <c r="CX20">
        <v>4</v>
      </c>
      <c r="CY20">
        <v>4</v>
      </c>
      <c r="CZ20">
        <v>4</v>
      </c>
      <c r="DA20">
        <v>5</v>
      </c>
      <c r="DB20">
        <v>4</v>
      </c>
      <c r="DC20">
        <v>5</v>
      </c>
      <c r="DD20">
        <v>5</v>
      </c>
      <c r="DE20">
        <v>5</v>
      </c>
      <c r="DF20">
        <v>4</v>
      </c>
      <c r="DG20">
        <v>4</v>
      </c>
      <c r="EV20" t="s">
        <v>308</v>
      </c>
      <c r="EW20" t="s">
        <v>308</v>
      </c>
      <c r="EX20" t="s">
        <v>308</v>
      </c>
      <c r="EY20" t="s">
        <v>190</v>
      </c>
      <c r="EZ20" t="s">
        <v>308</v>
      </c>
    </row>
    <row r="21" spans="1:159" x14ac:dyDescent="0.35">
      <c r="A21" t="str">
        <f>IF(AU21='Bộ lọc theo Ngành'!$C$5, MAX($A$1:A20)+1, "")</f>
        <v/>
      </c>
      <c r="B21" s="1">
        <v>46122.595152511567</v>
      </c>
      <c r="C21" t="s">
        <v>358</v>
      </c>
      <c r="D21" t="s">
        <v>359</v>
      </c>
      <c r="E21" t="s">
        <v>360</v>
      </c>
      <c r="F21">
        <v>909124518</v>
      </c>
      <c r="G21" t="s">
        <v>361</v>
      </c>
      <c r="J21">
        <v>50</v>
      </c>
      <c r="K21" t="s">
        <v>166</v>
      </c>
      <c r="M21" t="s">
        <v>362</v>
      </c>
      <c r="N21">
        <v>5</v>
      </c>
      <c r="O21">
        <v>4</v>
      </c>
      <c r="P21">
        <v>5</v>
      </c>
      <c r="Q21">
        <v>5</v>
      </c>
      <c r="R21">
        <v>5</v>
      </c>
      <c r="S21">
        <v>4</v>
      </c>
      <c r="T21">
        <v>5</v>
      </c>
      <c r="U21">
        <v>5</v>
      </c>
      <c r="V21">
        <v>5</v>
      </c>
      <c r="W21">
        <v>4</v>
      </c>
      <c r="X21">
        <v>4</v>
      </c>
      <c r="Y21">
        <v>5</v>
      </c>
      <c r="Z21">
        <v>5</v>
      </c>
      <c r="AA21">
        <v>4</v>
      </c>
      <c r="AE21" t="s">
        <v>363</v>
      </c>
      <c r="AF21" t="s">
        <v>171</v>
      </c>
      <c r="AG21" t="s">
        <v>170</v>
      </c>
      <c r="AH21" t="s">
        <v>170</v>
      </c>
      <c r="AI21" t="s">
        <v>170</v>
      </c>
      <c r="AJ21" t="s">
        <v>170</v>
      </c>
      <c r="AK21" t="s">
        <v>170</v>
      </c>
      <c r="AL21" t="s">
        <v>204</v>
      </c>
      <c r="AM21" t="s">
        <v>205</v>
      </c>
      <c r="AN21">
        <v>6</v>
      </c>
      <c r="AO21">
        <v>6</v>
      </c>
      <c r="AP21">
        <v>6</v>
      </c>
      <c r="AQ21">
        <v>6</v>
      </c>
      <c r="AR21">
        <v>6</v>
      </c>
      <c r="AS21">
        <v>6</v>
      </c>
      <c r="AT21" t="s">
        <v>174</v>
      </c>
      <c r="AU21" t="s">
        <v>275</v>
      </c>
      <c r="CV21">
        <v>5</v>
      </c>
      <c r="CW21">
        <v>5</v>
      </c>
      <c r="CX21">
        <v>5</v>
      </c>
      <c r="CY21">
        <v>5</v>
      </c>
      <c r="CZ21">
        <v>5</v>
      </c>
      <c r="DA21">
        <v>5</v>
      </c>
      <c r="DB21">
        <v>5</v>
      </c>
      <c r="DC21">
        <v>5</v>
      </c>
      <c r="DD21">
        <v>5</v>
      </c>
      <c r="DE21">
        <v>5</v>
      </c>
      <c r="DF21">
        <v>5</v>
      </c>
      <c r="DG21">
        <v>5</v>
      </c>
      <c r="EV21" t="s">
        <v>226</v>
      </c>
      <c r="EW21" t="s">
        <v>226</v>
      </c>
      <c r="EX21" t="s">
        <v>226</v>
      </c>
      <c r="EY21" t="s">
        <v>226</v>
      </c>
      <c r="EZ21" t="s">
        <v>226</v>
      </c>
    </row>
    <row r="22" spans="1:159" x14ac:dyDescent="0.35">
      <c r="A22" t="str">
        <f>IF(AU22='Bộ lọc theo Ngành'!$C$5, MAX($A$1:A21)+1, "")</f>
        <v/>
      </c>
      <c r="B22" s="1">
        <v>46123.705765659717</v>
      </c>
      <c r="C22" t="s">
        <v>364</v>
      </c>
      <c r="D22" t="s">
        <v>365</v>
      </c>
      <c r="F22" t="s">
        <v>366</v>
      </c>
      <c r="H22" t="s">
        <v>367</v>
      </c>
      <c r="J22">
        <v>30</v>
      </c>
      <c r="K22" t="s">
        <v>166</v>
      </c>
      <c r="N22">
        <v>5</v>
      </c>
      <c r="O22">
        <v>4</v>
      </c>
      <c r="P22">
        <v>5</v>
      </c>
      <c r="Q22">
        <v>4</v>
      </c>
      <c r="R22">
        <v>5</v>
      </c>
      <c r="S22">
        <v>4</v>
      </c>
      <c r="T22">
        <v>5</v>
      </c>
      <c r="U22">
        <v>4</v>
      </c>
      <c r="V22">
        <v>5</v>
      </c>
      <c r="W22">
        <v>4</v>
      </c>
      <c r="X22">
        <v>5</v>
      </c>
      <c r="Y22">
        <v>4</v>
      </c>
      <c r="Z22">
        <v>5</v>
      </c>
      <c r="AA22">
        <v>5</v>
      </c>
      <c r="AF22" t="s">
        <v>171</v>
      </c>
      <c r="AG22" t="s">
        <v>170</v>
      </c>
      <c r="AH22" t="s">
        <v>171</v>
      </c>
      <c r="AI22" t="s">
        <v>171</v>
      </c>
      <c r="AJ22" t="s">
        <v>171</v>
      </c>
      <c r="AL22" t="s">
        <v>204</v>
      </c>
      <c r="AM22" t="s">
        <v>205</v>
      </c>
      <c r="AN22">
        <v>6</v>
      </c>
      <c r="AO22">
        <v>5</v>
      </c>
      <c r="AP22">
        <v>6</v>
      </c>
      <c r="AQ22">
        <v>5</v>
      </c>
      <c r="AR22">
        <v>5</v>
      </c>
      <c r="AS22">
        <v>6</v>
      </c>
      <c r="AT22" t="s">
        <v>174</v>
      </c>
      <c r="AU22" t="s">
        <v>275</v>
      </c>
      <c r="CV22">
        <v>5</v>
      </c>
      <c r="CW22">
        <v>4</v>
      </c>
      <c r="CX22">
        <v>4</v>
      </c>
      <c r="CY22">
        <v>5</v>
      </c>
      <c r="CZ22">
        <v>5</v>
      </c>
      <c r="DA22">
        <v>5</v>
      </c>
      <c r="DB22">
        <v>4</v>
      </c>
      <c r="DC22">
        <v>4</v>
      </c>
      <c r="DD22">
        <v>5</v>
      </c>
      <c r="DE22">
        <v>4</v>
      </c>
      <c r="DF22">
        <v>5</v>
      </c>
      <c r="DG22">
        <v>5</v>
      </c>
      <c r="EV22" t="s">
        <v>226</v>
      </c>
      <c r="EW22" t="s">
        <v>226</v>
      </c>
      <c r="EX22" t="s">
        <v>176</v>
      </c>
      <c r="EY22" t="s">
        <v>226</v>
      </c>
      <c r="EZ22" t="s">
        <v>176</v>
      </c>
    </row>
    <row r="23" spans="1:159" x14ac:dyDescent="0.35">
      <c r="A23" t="str">
        <f>IF(AU23='Bộ lọc theo Ngành'!$C$5, MAX($A$1:A22)+1, "")</f>
        <v/>
      </c>
      <c r="B23" s="1">
        <v>46123.70681354167</v>
      </c>
      <c r="C23" t="s">
        <v>368</v>
      </c>
      <c r="D23" t="s">
        <v>369</v>
      </c>
      <c r="F23" t="s">
        <v>370</v>
      </c>
      <c r="H23" t="s">
        <v>371</v>
      </c>
      <c r="K23" t="s">
        <v>166</v>
      </c>
      <c r="M23" t="s">
        <v>362</v>
      </c>
      <c r="N23">
        <v>5</v>
      </c>
      <c r="O23">
        <v>5</v>
      </c>
      <c r="P23">
        <v>5</v>
      </c>
      <c r="Q23">
        <v>4</v>
      </c>
      <c r="R23">
        <v>5</v>
      </c>
      <c r="S23">
        <v>5</v>
      </c>
      <c r="T23">
        <v>5</v>
      </c>
      <c r="U23">
        <v>5</v>
      </c>
      <c r="V23">
        <v>5</v>
      </c>
      <c r="W23">
        <v>5</v>
      </c>
      <c r="X23">
        <v>4</v>
      </c>
      <c r="Y23">
        <v>5</v>
      </c>
      <c r="Z23">
        <v>4</v>
      </c>
      <c r="AA23">
        <v>5</v>
      </c>
      <c r="AE23" t="s">
        <v>372</v>
      </c>
      <c r="AF23" t="s">
        <v>171</v>
      </c>
      <c r="AH23" t="s">
        <v>171</v>
      </c>
      <c r="AI23" t="s">
        <v>170</v>
      </c>
      <c r="AJ23" t="s">
        <v>170</v>
      </c>
      <c r="AK23" t="s">
        <v>171</v>
      </c>
      <c r="AL23" t="s">
        <v>204</v>
      </c>
      <c r="AM23" t="s">
        <v>205</v>
      </c>
      <c r="AN23">
        <v>6</v>
      </c>
      <c r="AO23">
        <v>5</v>
      </c>
      <c r="AP23">
        <v>6</v>
      </c>
      <c r="AQ23">
        <v>6</v>
      </c>
      <c r="AR23">
        <v>6</v>
      </c>
      <c r="AS23">
        <v>6</v>
      </c>
      <c r="AT23" t="s">
        <v>174</v>
      </c>
      <c r="AU23" t="s">
        <v>275</v>
      </c>
      <c r="CV23">
        <v>5</v>
      </c>
      <c r="CW23">
        <v>5</v>
      </c>
      <c r="CX23">
        <v>5</v>
      </c>
      <c r="CY23">
        <v>4</v>
      </c>
      <c r="CZ23">
        <v>3</v>
      </c>
      <c r="DA23">
        <v>4</v>
      </c>
      <c r="DB23">
        <v>4</v>
      </c>
      <c r="DC23">
        <v>5</v>
      </c>
      <c r="DD23">
        <v>4</v>
      </c>
      <c r="DE23">
        <v>3</v>
      </c>
      <c r="DF23">
        <v>5</v>
      </c>
      <c r="DG23">
        <v>5</v>
      </c>
      <c r="EV23" t="s">
        <v>226</v>
      </c>
      <c r="EW23" t="s">
        <v>176</v>
      </c>
      <c r="EX23" t="s">
        <v>226</v>
      </c>
      <c r="EY23" t="s">
        <v>226</v>
      </c>
      <c r="EZ23" t="s">
        <v>226</v>
      </c>
    </row>
    <row r="24" spans="1:159" x14ac:dyDescent="0.35">
      <c r="A24" t="str">
        <f>IF(AU24='Bộ lọc theo Ngành'!$C$5, MAX($A$1:A23)+1, "")</f>
        <v/>
      </c>
      <c r="B24" s="1">
        <v>46123.707904571762</v>
      </c>
      <c r="C24" t="s">
        <v>373</v>
      </c>
      <c r="D24" t="s">
        <v>365</v>
      </c>
      <c r="H24" t="s">
        <v>374</v>
      </c>
      <c r="K24" t="s">
        <v>166</v>
      </c>
      <c r="M24" t="s">
        <v>375</v>
      </c>
      <c r="N24">
        <v>5</v>
      </c>
      <c r="O24">
        <v>5</v>
      </c>
      <c r="P24">
        <v>5</v>
      </c>
      <c r="Q24">
        <v>5</v>
      </c>
      <c r="R24">
        <v>5</v>
      </c>
      <c r="S24">
        <v>4</v>
      </c>
      <c r="T24">
        <v>5</v>
      </c>
      <c r="U24">
        <v>4</v>
      </c>
      <c r="W24">
        <v>5</v>
      </c>
      <c r="X24">
        <v>3</v>
      </c>
      <c r="Y24">
        <v>5</v>
      </c>
      <c r="Z24">
        <v>5</v>
      </c>
      <c r="AA24">
        <v>5</v>
      </c>
      <c r="AG24" t="s">
        <v>170</v>
      </c>
      <c r="AH24" t="s">
        <v>171</v>
      </c>
      <c r="AI24" t="s">
        <v>171</v>
      </c>
      <c r="AJ24" t="s">
        <v>171</v>
      </c>
      <c r="AK24" t="s">
        <v>170</v>
      </c>
      <c r="AL24" t="s">
        <v>204</v>
      </c>
      <c r="AM24" t="s">
        <v>205</v>
      </c>
      <c r="AN24">
        <v>6</v>
      </c>
      <c r="AO24">
        <v>6</v>
      </c>
      <c r="AQ24">
        <v>5</v>
      </c>
      <c r="AR24">
        <v>5</v>
      </c>
      <c r="AS24">
        <v>5</v>
      </c>
      <c r="AT24" t="s">
        <v>174</v>
      </c>
      <c r="AU24" t="s">
        <v>275</v>
      </c>
      <c r="CV24">
        <v>5</v>
      </c>
      <c r="CW24">
        <v>5</v>
      </c>
      <c r="CX24">
        <v>5</v>
      </c>
      <c r="CY24">
        <v>5</v>
      </c>
      <c r="CZ24">
        <v>5</v>
      </c>
      <c r="DA24">
        <v>4</v>
      </c>
      <c r="DB24">
        <v>4</v>
      </c>
      <c r="DC24">
        <v>4</v>
      </c>
      <c r="DD24">
        <v>5</v>
      </c>
      <c r="DE24">
        <v>4</v>
      </c>
      <c r="DF24">
        <v>4</v>
      </c>
      <c r="DG24">
        <v>4</v>
      </c>
      <c r="EV24" t="s">
        <v>226</v>
      </c>
      <c r="EW24" t="s">
        <v>176</v>
      </c>
      <c r="EX24" t="s">
        <v>226</v>
      </c>
      <c r="EY24" t="s">
        <v>226</v>
      </c>
      <c r="EZ24" t="s">
        <v>226</v>
      </c>
    </row>
    <row r="25" spans="1:159" x14ac:dyDescent="0.35">
      <c r="A25" t="str">
        <f>IF(AU25='Bộ lọc theo Ngành'!$C$5, MAX($A$1:A24)+1, "")</f>
        <v/>
      </c>
      <c r="B25" s="1">
        <v>46123.708805185182</v>
      </c>
      <c r="C25" t="s">
        <v>376</v>
      </c>
      <c r="D25" t="s">
        <v>377</v>
      </c>
      <c r="H25" t="s">
        <v>378</v>
      </c>
      <c r="K25" t="s">
        <v>166</v>
      </c>
      <c r="M25" t="s">
        <v>200</v>
      </c>
      <c r="N25">
        <v>5</v>
      </c>
      <c r="O25">
        <v>4</v>
      </c>
      <c r="P25">
        <v>4</v>
      </c>
      <c r="Q25">
        <v>4</v>
      </c>
      <c r="R25">
        <v>5</v>
      </c>
      <c r="S25">
        <v>5</v>
      </c>
      <c r="T25">
        <v>5</v>
      </c>
      <c r="U25">
        <v>5</v>
      </c>
      <c r="V25">
        <v>5</v>
      </c>
      <c r="W25">
        <v>4</v>
      </c>
      <c r="X25">
        <v>4</v>
      </c>
      <c r="Y25">
        <v>4</v>
      </c>
      <c r="Z25">
        <v>5</v>
      </c>
      <c r="AA25">
        <v>4</v>
      </c>
      <c r="AE25" t="s">
        <v>372</v>
      </c>
      <c r="AF25" t="s">
        <v>171</v>
      </c>
      <c r="AG25" t="s">
        <v>170</v>
      </c>
      <c r="AH25" t="s">
        <v>170</v>
      </c>
      <c r="AI25" t="s">
        <v>171</v>
      </c>
      <c r="AJ25" t="s">
        <v>171</v>
      </c>
      <c r="AK25" t="s">
        <v>170</v>
      </c>
      <c r="AL25" t="s">
        <v>204</v>
      </c>
      <c r="AM25" t="s">
        <v>205</v>
      </c>
      <c r="AN25">
        <v>6</v>
      </c>
      <c r="AO25">
        <v>5</v>
      </c>
      <c r="AP25">
        <v>5</v>
      </c>
      <c r="AQ25">
        <v>5</v>
      </c>
      <c r="AR25">
        <v>5</v>
      </c>
      <c r="AS25">
        <v>6</v>
      </c>
      <c r="AT25" t="s">
        <v>174</v>
      </c>
      <c r="AU25" t="s">
        <v>275</v>
      </c>
      <c r="CV25">
        <v>5</v>
      </c>
      <c r="CW25">
        <v>5</v>
      </c>
      <c r="CX25">
        <v>5</v>
      </c>
      <c r="CY25">
        <v>4</v>
      </c>
      <c r="CZ25">
        <v>4</v>
      </c>
      <c r="DA25">
        <v>5</v>
      </c>
      <c r="DB25">
        <v>4</v>
      </c>
      <c r="DC25">
        <v>5</v>
      </c>
      <c r="DD25">
        <v>5</v>
      </c>
      <c r="DE25">
        <v>5</v>
      </c>
      <c r="DF25">
        <v>5</v>
      </c>
      <c r="DG25">
        <v>5</v>
      </c>
      <c r="EV25" t="s">
        <v>226</v>
      </c>
      <c r="EW25" t="s">
        <v>226</v>
      </c>
      <c r="EX25" t="s">
        <v>176</v>
      </c>
      <c r="EY25" t="s">
        <v>176</v>
      </c>
      <c r="EZ25" t="s">
        <v>226</v>
      </c>
    </row>
    <row r="26" spans="1:159" x14ac:dyDescent="0.35">
      <c r="A26" t="str">
        <f>IF(AU26='Bộ lọc theo Ngành'!$C$5, MAX($A$1:A25)+1, "")</f>
        <v/>
      </c>
      <c r="B26" s="1">
        <v>46123.709762418977</v>
      </c>
      <c r="C26" t="s">
        <v>379</v>
      </c>
      <c r="D26" t="s">
        <v>365</v>
      </c>
      <c r="H26" t="s">
        <v>380</v>
      </c>
      <c r="K26" t="s">
        <v>166</v>
      </c>
      <c r="M26" t="s">
        <v>362</v>
      </c>
      <c r="N26">
        <v>5</v>
      </c>
      <c r="O26">
        <v>5</v>
      </c>
      <c r="P26">
        <v>4</v>
      </c>
      <c r="Q26">
        <v>5</v>
      </c>
      <c r="R26">
        <v>5</v>
      </c>
      <c r="S26">
        <v>5</v>
      </c>
      <c r="T26">
        <v>4</v>
      </c>
      <c r="U26">
        <v>4</v>
      </c>
      <c r="V26">
        <v>4</v>
      </c>
      <c r="W26">
        <v>5</v>
      </c>
      <c r="X26">
        <v>4</v>
      </c>
      <c r="Y26">
        <v>3</v>
      </c>
      <c r="Z26">
        <v>4</v>
      </c>
      <c r="AA26">
        <v>4</v>
      </c>
      <c r="AE26" t="s">
        <v>381</v>
      </c>
      <c r="AF26" t="s">
        <v>171</v>
      </c>
      <c r="AG26" t="s">
        <v>170</v>
      </c>
      <c r="AH26" t="s">
        <v>170</v>
      </c>
      <c r="AI26" t="s">
        <v>171</v>
      </c>
      <c r="AJ26" t="s">
        <v>171</v>
      </c>
      <c r="AK26" t="s">
        <v>171</v>
      </c>
      <c r="AL26" t="s">
        <v>204</v>
      </c>
      <c r="AM26" t="s">
        <v>205</v>
      </c>
      <c r="AN26">
        <v>5</v>
      </c>
      <c r="AO26">
        <v>5</v>
      </c>
      <c r="AP26">
        <v>5</v>
      </c>
      <c r="AQ26">
        <v>6</v>
      </c>
      <c r="AR26">
        <v>6</v>
      </c>
      <c r="AS26">
        <v>5</v>
      </c>
      <c r="AT26" t="s">
        <v>174</v>
      </c>
      <c r="AU26" t="s">
        <v>275</v>
      </c>
      <c r="CV26">
        <v>5</v>
      </c>
      <c r="CW26">
        <v>4</v>
      </c>
      <c r="CX26">
        <v>5</v>
      </c>
      <c r="CY26">
        <v>3</v>
      </c>
      <c r="CZ26">
        <v>4</v>
      </c>
      <c r="DA26">
        <v>5</v>
      </c>
      <c r="DB26">
        <v>4</v>
      </c>
      <c r="DC26">
        <v>4</v>
      </c>
      <c r="DD26">
        <v>5</v>
      </c>
      <c r="DE26">
        <v>4</v>
      </c>
      <c r="DF26">
        <v>4</v>
      </c>
      <c r="DG26">
        <v>5</v>
      </c>
      <c r="EV26" t="s">
        <v>226</v>
      </c>
      <c r="EW26" t="s">
        <v>176</v>
      </c>
      <c r="EX26" t="s">
        <v>176</v>
      </c>
      <c r="EY26" t="s">
        <v>226</v>
      </c>
      <c r="EZ26" t="s">
        <v>226</v>
      </c>
    </row>
    <row r="27" spans="1:159" x14ac:dyDescent="0.35">
      <c r="A27" t="str">
        <f>IF(AU27='Bộ lọc theo Ngành'!$C$5, MAX($A$1:A26)+1, "")</f>
        <v/>
      </c>
      <c r="B27" s="1">
        <v>46123.71066759259</v>
      </c>
      <c r="C27" t="s">
        <v>382</v>
      </c>
      <c r="F27" t="s">
        <v>383</v>
      </c>
      <c r="H27" t="s">
        <v>384</v>
      </c>
      <c r="K27" t="s">
        <v>166</v>
      </c>
      <c r="M27" t="s">
        <v>200</v>
      </c>
      <c r="N27">
        <v>5</v>
      </c>
      <c r="O27">
        <v>5</v>
      </c>
      <c r="P27">
        <v>5</v>
      </c>
      <c r="Q27">
        <v>4</v>
      </c>
      <c r="R27">
        <v>4</v>
      </c>
      <c r="S27">
        <v>5</v>
      </c>
      <c r="T27">
        <v>5</v>
      </c>
      <c r="U27">
        <v>4</v>
      </c>
      <c r="V27">
        <v>5</v>
      </c>
      <c r="W27">
        <v>4</v>
      </c>
      <c r="X27">
        <v>4</v>
      </c>
      <c r="Y27">
        <v>4</v>
      </c>
      <c r="Z27">
        <v>4</v>
      </c>
      <c r="AA27">
        <v>5</v>
      </c>
      <c r="AE27" t="s">
        <v>385</v>
      </c>
      <c r="AF27" t="s">
        <v>171</v>
      </c>
      <c r="AG27" t="s">
        <v>170</v>
      </c>
      <c r="AH27" t="s">
        <v>170</v>
      </c>
      <c r="AI27" t="s">
        <v>171</v>
      </c>
      <c r="AJ27" t="s">
        <v>170</v>
      </c>
      <c r="AK27" t="s">
        <v>171</v>
      </c>
      <c r="AL27" t="s">
        <v>204</v>
      </c>
      <c r="AM27" t="s">
        <v>205</v>
      </c>
      <c r="AN27">
        <v>6</v>
      </c>
      <c r="AO27">
        <v>5</v>
      </c>
      <c r="AP27">
        <v>6</v>
      </c>
      <c r="AQ27">
        <v>6</v>
      </c>
      <c r="AR27">
        <v>6</v>
      </c>
      <c r="AS27">
        <v>5</v>
      </c>
      <c r="AT27" t="s">
        <v>174</v>
      </c>
      <c r="AU27" t="s">
        <v>275</v>
      </c>
      <c r="CV27">
        <v>4</v>
      </c>
      <c r="CW27">
        <v>5</v>
      </c>
      <c r="CX27">
        <v>5</v>
      </c>
      <c r="CY27">
        <v>5</v>
      </c>
      <c r="CZ27">
        <v>4</v>
      </c>
      <c r="DA27">
        <v>4</v>
      </c>
      <c r="DB27">
        <v>4</v>
      </c>
      <c r="DC27">
        <v>5</v>
      </c>
      <c r="DD27">
        <v>5</v>
      </c>
      <c r="DE27">
        <v>5</v>
      </c>
      <c r="DF27">
        <v>4</v>
      </c>
      <c r="DG27">
        <v>4</v>
      </c>
      <c r="EV27" t="s">
        <v>226</v>
      </c>
      <c r="EW27" t="s">
        <v>176</v>
      </c>
      <c r="EX27" t="s">
        <v>176</v>
      </c>
      <c r="EY27" t="s">
        <v>176</v>
      </c>
      <c r="EZ27" t="s">
        <v>226</v>
      </c>
    </row>
    <row r="28" spans="1:159" x14ac:dyDescent="0.35">
      <c r="A28" t="str">
        <f>IF(AU28='Bộ lọc theo Ngành'!$C$5, MAX($A$1:A27)+1, "")</f>
        <v/>
      </c>
      <c r="B28" s="1">
        <v>46123.711738900463</v>
      </c>
      <c r="C28" t="s">
        <v>386</v>
      </c>
      <c r="K28" t="s">
        <v>166</v>
      </c>
      <c r="M28" t="s">
        <v>167</v>
      </c>
      <c r="N28">
        <v>4</v>
      </c>
      <c r="O28">
        <v>5</v>
      </c>
      <c r="P28">
        <v>5</v>
      </c>
      <c r="Q28">
        <v>5</v>
      </c>
      <c r="R28">
        <v>4</v>
      </c>
      <c r="S28">
        <v>4</v>
      </c>
      <c r="T28">
        <v>4</v>
      </c>
      <c r="U28">
        <v>5</v>
      </c>
      <c r="V28">
        <v>5</v>
      </c>
      <c r="W28">
        <v>5</v>
      </c>
      <c r="X28">
        <v>5</v>
      </c>
      <c r="Y28">
        <v>4</v>
      </c>
      <c r="Z28">
        <v>4</v>
      </c>
      <c r="AA28">
        <v>4</v>
      </c>
      <c r="AF28" t="s">
        <v>171</v>
      </c>
      <c r="AG28" t="s">
        <v>171</v>
      </c>
      <c r="AH28" t="s">
        <v>170</v>
      </c>
      <c r="AI28" t="s">
        <v>170</v>
      </c>
      <c r="AJ28" t="s">
        <v>171</v>
      </c>
      <c r="AL28" t="s">
        <v>204</v>
      </c>
      <c r="AM28" t="s">
        <v>205</v>
      </c>
      <c r="AN28">
        <v>6</v>
      </c>
      <c r="AO28">
        <v>5</v>
      </c>
      <c r="AP28">
        <v>6</v>
      </c>
      <c r="AQ28">
        <v>6</v>
      </c>
      <c r="AR28">
        <v>6</v>
      </c>
      <c r="AS28">
        <v>6</v>
      </c>
      <c r="AT28" t="s">
        <v>174</v>
      </c>
      <c r="AU28" t="s">
        <v>275</v>
      </c>
      <c r="CV28">
        <v>5</v>
      </c>
      <c r="CW28">
        <v>5</v>
      </c>
      <c r="CX28">
        <v>4</v>
      </c>
      <c r="CY28">
        <v>4</v>
      </c>
      <c r="CZ28">
        <v>4</v>
      </c>
      <c r="DA28">
        <v>4</v>
      </c>
      <c r="DB28">
        <v>5</v>
      </c>
      <c r="DC28">
        <v>5</v>
      </c>
      <c r="DD28">
        <v>5</v>
      </c>
      <c r="DE28">
        <v>4</v>
      </c>
      <c r="DF28">
        <v>5</v>
      </c>
      <c r="DG28">
        <v>4</v>
      </c>
      <c r="EV28" t="s">
        <v>226</v>
      </c>
      <c r="EW28" t="s">
        <v>176</v>
      </c>
      <c r="EX28" t="s">
        <v>176</v>
      </c>
      <c r="EY28" t="s">
        <v>226</v>
      </c>
      <c r="EZ28" t="s">
        <v>226</v>
      </c>
    </row>
    <row r="29" spans="1:159" x14ac:dyDescent="0.35">
      <c r="A29" t="str">
        <f>IF(AU29='Bộ lọc theo Ngành'!$C$5, MAX($A$1:A28)+1, "")</f>
        <v/>
      </c>
      <c r="B29" s="1">
        <v>46123.712512233797</v>
      </c>
      <c r="C29" t="s">
        <v>387</v>
      </c>
      <c r="K29" t="s">
        <v>166</v>
      </c>
      <c r="M29" t="s">
        <v>167</v>
      </c>
      <c r="N29">
        <v>5</v>
      </c>
      <c r="O29">
        <v>4</v>
      </c>
      <c r="P29">
        <v>4</v>
      </c>
      <c r="Q29">
        <v>5</v>
      </c>
      <c r="R29">
        <v>5</v>
      </c>
      <c r="S29">
        <v>4</v>
      </c>
      <c r="T29">
        <v>5</v>
      </c>
      <c r="U29">
        <v>5</v>
      </c>
      <c r="V29">
        <v>5</v>
      </c>
      <c r="W29">
        <v>5</v>
      </c>
      <c r="X29">
        <v>4</v>
      </c>
      <c r="Y29">
        <v>5</v>
      </c>
      <c r="Z29">
        <v>5</v>
      </c>
      <c r="AA29">
        <v>4</v>
      </c>
      <c r="AE29" t="s">
        <v>274</v>
      </c>
      <c r="AF29" t="s">
        <v>171</v>
      </c>
      <c r="AG29" t="s">
        <v>171</v>
      </c>
      <c r="AH29" t="s">
        <v>171</v>
      </c>
      <c r="AI29" t="s">
        <v>171</v>
      </c>
      <c r="AJ29" t="s">
        <v>170</v>
      </c>
      <c r="AK29" t="s">
        <v>170</v>
      </c>
      <c r="AL29" t="s">
        <v>204</v>
      </c>
      <c r="AM29" t="s">
        <v>205</v>
      </c>
      <c r="AN29">
        <v>6</v>
      </c>
      <c r="AO29">
        <v>6</v>
      </c>
      <c r="AP29">
        <v>6</v>
      </c>
      <c r="AQ29">
        <v>5</v>
      </c>
      <c r="AR29">
        <v>4</v>
      </c>
      <c r="AS29">
        <v>5</v>
      </c>
      <c r="AT29" t="s">
        <v>174</v>
      </c>
      <c r="AU29" t="s">
        <v>275</v>
      </c>
      <c r="CV29">
        <v>5</v>
      </c>
      <c r="CW29">
        <v>4</v>
      </c>
      <c r="CX29">
        <v>5</v>
      </c>
      <c r="CY29">
        <v>5</v>
      </c>
      <c r="CZ29">
        <v>5</v>
      </c>
      <c r="DA29">
        <v>5</v>
      </c>
      <c r="DB29">
        <v>5</v>
      </c>
      <c r="DC29">
        <v>4</v>
      </c>
      <c r="DD29">
        <v>4</v>
      </c>
      <c r="DE29">
        <v>3</v>
      </c>
      <c r="DF29">
        <v>4</v>
      </c>
      <c r="DG29">
        <v>4</v>
      </c>
      <c r="EV29" t="s">
        <v>226</v>
      </c>
      <c r="EW29" t="s">
        <v>176</v>
      </c>
      <c r="EX29" t="s">
        <v>176</v>
      </c>
      <c r="EY29" t="s">
        <v>226</v>
      </c>
      <c r="EZ29" t="s">
        <v>176</v>
      </c>
    </row>
    <row r="30" spans="1:159" x14ac:dyDescent="0.35">
      <c r="A30" t="str">
        <f>IF(AU30='Bộ lọc theo Ngành'!$C$5, MAX($A$1:A29)+1, "")</f>
        <v/>
      </c>
      <c r="B30" s="1">
        <v>46123.713201087958</v>
      </c>
      <c r="C30" t="s">
        <v>388</v>
      </c>
      <c r="K30" t="s">
        <v>166</v>
      </c>
      <c r="M30" t="s">
        <v>362</v>
      </c>
      <c r="N30">
        <v>5</v>
      </c>
      <c r="O30">
        <v>5</v>
      </c>
      <c r="P30">
        <v>4</v>
      </c>
      <c r="Q30">
        <v>4</v>
      </c>
      <c r="R30">
        <v>5</v>
      </c>
      <c r="S30">
        <v>4</v>
      </c>
      <c r="T30">
        <v>5</v>
      </c>
      <c r="U30">
        <v>4</v>
      </c>
      <c r="V30">
        <v>4</v>
      </c>
      <c r="W30">
        <v>4</v>
      </c>
      <c r="X30">
        <v>5</v>
      </c>
      <c r="Y30">
        <v>4</v>
      </c>
      <c r="Z30">
        <v>5</v>
      </c>
      <c r="AA30">
        <v>4</v>
      </c>
      <c r="AE30" t="s">
        <v>218</v>
      </c>
      <c r="AF30" t="s">
        <v>170</v>
      </c>
      <c r="AG30" t="s">
        <v>171</v>
      </c>
      <c r="AH30" t="s">
        <v>171</v>
      </c>
      <c r="AI30" t="s">
        <v>171</v>
      </c>
      <c r="AJ30" t="s">
        <v>170</v>
      </c>
      <c r="AK30" t="s">
        <v>170</v>
      </c>
      <c r="AL30" t="s">
        <v>204</v>
      </c>
      <c r="AM30" t="s">
        <v>205</v>
      </c>
      <c r="AN30">
        <v>5</v>
      </c>
      <c r="AO30">
        <v>6</v>
      </c>
      <c r="AP30">
        <v>5</v>
      </c>
      <c r="AQ30">
        <v>5</v>
      </c>
      <c r="AR30">
        <v>6</v>
      </c>
      <c r="AS30">
        <v>5</v>
      </c>
      <c r="AT30" t="s">
        <v>174</v>
      </c>
      <c r="AU30" t="s">
        <v>275</v>
      </c>
      <c r="CV30">
        <v>5</v>
      </c>
      <c r="CW30">
        <v>5</v>
      </c>
      <c r="CX30">
        <v>5</v>
      </c>
      <c r="CY30">
        <v>4</v>
      </c>
      <c r="CZ30">
        <v>4</v>
      </c>
      <c r="DA30">
        <v>4</v>
      </c>
      <c r="DB30">
        <v>5</v>
      </c>
      <c r="DC30">
        <v>5</v>
      </c>
      <c r="DD30">
        <v>5</v>
      </c>
      <c r="DE30">
        <v>5</v>
      </c>
      <c r="DF30">
        <v>5</v>
      </c>
      <c r="DG30">
        <v>5</v>
      </c>
      <c r="EV30" t="s">
        <v>226</v>
      </c>
      <c r="EW30" t="s">
        <v>226</v>
      </c>
      <c r="EX30" t="s">
        <v>176</v>
      </c>
      <c r="EY30" t="s">
        <v>226</v>
      </c>
      <c r="EZ30" t="s">
        <v>176</v>
      </c>
    </row>
    <row r="31" spans="1:159" x14ac:dyDescent="0.35">
      <c r="A31" t="str">
        <f>IF(AU31='Bộ lọc theo Ngành'!$C$5, MAX($A$1:A30)+1, "")</f>
        <v/>
      </c>
      <c r="B31" s="1">
        <v>46123.714458969909</v>
      </c>
      <c r="C31" t="s">
        <v>389</v>
      </c>
      <c r="F31" t="s">
        <v>390</v>
      </c>
      <c r="H31" t="s">
        <v>391</v>
      </c>
      <c r="K31" t="s">
        <v>166</v>
      </c>
      <c r="M31" t="s">
        <v>167</v>
      </c>
      <c r="N31">
        <v>5</v>
      </c>
      <c r="O31">
        <v>5</v>
      </c>
      <c r="P31">
        <v>4</v>
      </c>
      <c r="Q31">
        <v>5</v>
      </c>
      <c r="R31">
        <v>4</v>
      </c>
      <c r="S31">
        <v>4</v>
      </c>
      <c r="T31">
        <v>4</v>
      </c>
      <c r="U31">
        <v>5</v>
      </c>
      <c r="V31">
        <v>5</v>
      </c>
      <c r="W31">
        <v>5</v>
      </c>
      <c r="X31">
        <v>4</v>
      </c>
      <c r="Y31">
        <v>5</v>
      </c>
      <c r="Z31">
        <v>5</v>
      </c>
      <c r="AA31">
        <v>5</v>
      </c>
      <c r="AE31" t="s">
        <v>168</v>
      </c>
      <c r="AF31" t="s">
        <v>171</v>
      </c>
      <c r="AG31" t="s">
        <v>170</v>
      </c>
      <c r="AH31" t="s">
        <v>170</v>
      </c>
      <c r="AI31" t="s">
        <v>170</v>
      </c>
      <c r="AJ31" t="s">
        <v>171</v>
      </c>
      <c r="AK31" t="s">
        <v>171</v>
      </c>
      <c r="AL31" t="s">
        <v>204</v>
      </c>
      <c r="AM31" t="s">
        <v>173</v>
      </c>
      <c r="AN31">
        <v>6</v>
      </c>
      <c r="AO31">
        <v>5</v>
      </c>
      <c r="AP31">
        <v>6</v>
      </c>
      <c r="AQ31">
        <v>6</v>
      </c>
      <c r="AR31">
        <v>6</v>
      </c>
      <c r="AS31">
        <v>6</v>
      </c>
      <c r="AT31" t="s">
        <v>174</v>
      </c>
      <c r="AU31" t="s">
        <v>275</v>
      </c>
      <c r="CV31">
        <v>5</v>
      </c>
      <c r="CW31">
        <v>5</v>
      </c>
      <c r="CX31">
        <v>4</v>
      </c>
      <c r="CY31">
        <v>5</v>
      </c>
      <c r="CZ31">
        <v>5</v>
      </c>
      <c r="DA31">
        <v>4</v>
      </c>
      <c r="DB31">
        <v>5</v>
      </c>
      <c r="DC31">
        <v>4</v>
      </c>
      <c r="DD31">
        <v>4</v>
      </c>
      <c r="DE31">
        <v>4</v>
      </c>
      <c r="DF31">
        <v>5</v>
      </c>
      <c r="DG31">
        <v>5</v>
      </c>
      <c r="EV31" t="s">
        <v>226</v>
      </c>
      <c r="EW31" t="s">
        <v>176</v>
      </c>
      <c r="EX31" t="s">
        <v>176</v>
      </c>
      <c r="EY31" t="s">
        <v>176</v>
      </c>
      <c r="EZ31" t="s">
        <v>176</v>
      </c>
    </row>
    <row r="32" spans="1:159" x14ac:dyDescent="0.35">
      <c r="A32" t="str">
        <f>IF(AU32='Bộ lọc theo Ngành'!$C$5, MAX($A$1:A31)+1, "")</f>
        <v/>
      </c>
      <c r="B32" s="1">
        <v>46123.715222743063</v>
      </c>
      <c r="C32" t="s">
        <v>392</v>
      </c>
      <c r="H32" t="s">
        <v>393</v>
      </c>
      <c r="K32" t="s">
        <v>166</v>
      </c>
      <c r="M32" t="s">
        <v>394</v>
      </c>
      <c r="N32">
        <v>4</v>
      </c>
      <c r="O32">
        <v>5</v>
      </c>
      <c r="P32">
        <v>4</v>
      </c>
      <c r="Q32">
        <v>5</v>
      </c>
      <c r="R32">
        <v>5</v>
      </c>
      <c r="S32">
        <v>5</v>
      </c>
      <c r="T32">
        <v>4</v>
      </c>
      <c r="U32">
        <v>4</v>
      </c>
      <c r="V32">
        <v>5</v>
      </c>
      <c r="W32">
        <v>3</v>
      </c>
      <c r="X32">
        <v>4</v>
      </c>
      <c r="Y32">
        <v>4</v>
      </c>
      <c r="Z32">
        <v>5</v>
      </c>
      <c r="AA32">
        <v>4</v>
      </c>
      <c r="AF32" t="s">
        <v>170</v>
      </c>
      <c r="AG32" t="s">
        <v>171</v>
      </c>
      <c r="AH32" t="s">
        <v>171</v>
      </c>
      <c r="AI32" t="s">
        <v>171</v>
      </c>
      <c r="AJ32" t="s">
        <v>170</v>
      </c>
      <c r="AL32" t="s">
        <v>204</v>
      </c>
      <c r="AM32" t="s">
        <v>173</v>
      </c>
      <c r="AN32">
        <v>5</v>
      </c>
      <c r="AO32">
        <v>6</v>
      </c>
      <c r="AP32">
        <v>4</v>
      </c>
      <c r="AQ32">
        <v>6</v>
      </c>
      <c r="AR32">
        <v>5</v>
      </c>
      <c r="AS32">
        <v>5</v>
      </c>
      <c r="AT32" t="s">
        <v>174</v>
      </c>
      <c r="AU32" t="s">
        <v>275</v>
      </c>
      <c r="CV32">
        <v>4</v>
      </c>
      <c r="CW32">
        <v>5</v>
      </c>
      <c r="CX32">
        <v>5</v>
      </c>
      <c r="CY32">
        <v>5</v>
      </c>
      <c r="CZ32">
        <v>4</v>
      </c>
      <c r="DA32">
        <v>5</v>
      </c>
      <c r="DB32">
        <v>5</v>
      </c>
      <c r="DC32">
        <v>5</v>
      </c>
      <c r="DD32">
        <v>4</v>
      </c>
      <c r="DE32">
        <v>4</v>
      </c>
      <c r="DF32">
        <v>4</v>
      </c>
      <c r="DG32">
        <v>5</v>
      </c>
      <c r="EV32" t="s">
        <v>226</v>
      </c>
      <c r="EW32" t="s">
        <v>226</v>
      </c>
      <c r="EX32" t="s">
        <v>226</v>
      </c>
      <c r="EY32" t="s">
        <v>176</v>
      </c>
      <c r="EZ32" t="s">
        <v>226</v>
      </c>
    </row>
    <row r="33" spans="1:159" x14ac:dyDescent="0.35">
      <c r="A33" t="str">
        <f>IF(AU33='Bộ lọc theo Ngành'!$C$5, MAX($A$1:A32)+1, "")</f>
        <v/>
      </c>
      <c r="B33" s="1">
        <v>46123.716271006953</v>
      </c>
      <c r="C33" t="s">
        <v>395</v>
      </c>
      <c r="D33" t="s">
        <v>396</v>
      </c>
      <c r="H33" t="s">
        <v>397</v>
      </c>
      <c r="K33" t="s">
        <v>166</v>
      </c>
      <c r="M33" t="s">
        <v>398</v>
      </c>
      <c r="N33">
        <v>5</v>
      </c>
      <c r="O33">
        <v>4</v>
      </c>
      <c r="P33">
        <v>5</v>
      </c>
      <c r="Q33">
        <v>5</v>
      </c>
      <c r="R33">
        <v>5</v>
      </c>
      <c r="S33">
        <v>4</v>
      </c>
      <c r="T33">
        <v>4</v>
      </c>
      <c r="U33">
        <v>4</v>
      </c>
      <c r="V33">
        <v>5</v>
      </c>
      <c r="W33">
        <v>5</v>
      </c>
      <c r="X33">
        <v>4</v>
      </c>
      <c r="Y33">
        <v>5</v>
      </c>
      <c r="Z33">
        <v>4</v>
      </c>
      <c r="AA33">
        <v>4</v>
      </c>
      <c r="AE33" t="s">
        <v>399</v>
      </c>
      <c r="AF33" t="s">
        <v>171</v>
      </c>
      <c r="AG33" t="s">
        <v>170</v>
      </c>
      <c r="AH33" t="s">
        <v>171</v>
      </c>
      <c r="AI33" t="s">
        <v>171</v>
      </c>
      <c r="AJ33" t="s">
        <v>170</v>
      </c>
      <c r="AK33" t="s">
        <v>170</v>
      </c>
      <c r="AM33" t="s">
        <v>205</v>
      </c>
      <c r="AN33">
        <v>6</v>
      </c>
      <c r="AO33">
        <v>6</v>
      </c>
      <c r="AP33">
        <v>6</v>
      </c>
      <c r="AQ33">
        <v>6</v>
      </c>
      <c r="AR33">
        <v>6</v>
      </c>
      <c r="AS33">
        <v>6</v>
      </c>
      <c r="AU33" t="s">
        <v>275</v>
      </c>
      <c r="CV33">
        <v>5</v>
      </c>
      <c r="CW33">
        <v>5</v>
      </c>
      <c r="CX33">
        <v>4</v>
      </c>
      <c r="CY33">
        <v>4</v>
      </c>
      <c r="CZ33">
        <v>5</v>
      </c>
      <c r="DA33">
        <v>4</v>
      </c>
      <c r="DB33">
        <v>5</v>
      </c>
      <c r="DC33">
        <v>4</v>
      </c>
      <c r="DD33">
        <v>4</v>
      </c>
      <c r="DE33">
        <v>5</v>
      </c>
      <c r="DF33">
        <v>5</v>
      </c>
      <c r="DG33">
        <v>5</v>
      </c>
      <c r="EV33" t="s">
        <v>226</v>
      </c>
      <c r="EW33" t="s">
        <v>226</v>
      </c>
      <c r="EX33" t="s">
        <v>176</v>
      </c>
      <c r="EY33" t="s">
        <v>176</v>
      </c>
      <c r="EZ33" t="s">
        <v>226</v>
      </c>
    </row>
    <row r="34" spans="1:159" x14ac:dyDescent="0.35">
      <c r="A34" t="str">
        <f>IF(AU34='Bộ lọc theo Ngành'!$C$5, MAX($A$1:A33)+1, "")</f>
        <v/>
      </c>
      <c r="B34" s="1">
        <v>46123.902064768517</v>
      </c>
      <c r="C34" t="s">
        <v>400</v>
      </c>
      <c r="D34" t="s">
        <v>401</v>
      </c>
      <c r="E34" t="s">
        <v>402</v>
      </c>
      <c r="F34" t="s">
        <v>403</v>
      </c>
      <c r="G34" t="s">
        <v>404</v>
      </c>
      <c r="H34" t="s">
        <v>405</v>
      </c>
      <c r="I34" t="s">
        <v>406</v>
      </c>
      <c r="J34">
        <v>12</v>
      </c>
      <c r="K34" t="s">
        <v>297</v>
      </c>
      <c r="L34">
        <v>1</v>
      </c>
      <c r="M34" t="s">
        <v>200</v>
      </c>
      <c r="N34">
        <v>5</v>
      </c>
      <c r="O34">
        <v>4</v>
      </c>
      <c r="P34">
        <v>5</v>
      </c>
      <c r="Q34">
        <v>5</v>
      </c>
      <c r="R34">
        <v>5</v>
      </c>
      <c r="S34">
        <v>5</v>
      </c>
      <c r="T34">
        <v>4</v>
      </c>
      <c r="U34">
        <v>4</v>
      </c>
      <c r="V34">
        <v>4</v>
      </c>
      <c r="W34">
        <v>4</v>
      </c>
      <c r="X34">
        <v>5</v>
      </c>
      <c r="Y34">
        <v>4</v>
      </c>
      <c r="Z34">
        <v>4</v>
      </c>
      <c r="AA34">
        <v>4</v>
      </c>
      <c r="AC34" t="s">
        <v>407</v>
      </c>
      <c r="AD34">
        <v>1</v>
      </c>
      <c r="AE34" t="s">
        <v>203</v>
      </c>
      <c r="AF34" t="s">
        <v>170</v>
      </c>
      <c r="AG34" t="s">
        <v>171</v>
      </c>
      <c r="AH34" t="s">
        <v>170</v>
      </c>
      <c r="AI34" t="s">
        <v>170</v>
      </c>
      <c r="AJ34" t="s">
        <v>170</v>
      </c>
      <c r="AK34" t="s">
        <v>171</v>
      </c>
      <c r="AL34" t="s">
        <v>172</v>
      </c>
      <c r="AM34" t="s">
        <v>173</v>
      </c>
      <c r="AN34">
        <v>6</v>
      </c>
      <c r="AO34">
        <v>4</v>
      </c>
      <c r="AP34">
        <v>4</v>
      </c>
      <c r="AQ34">
        <v>6</v>
      </c>
      <c r="AR34">
        <v>6</v>
      </c>
      <c r="AS34">
        <v>4</v>
      </c>
      <c r="AT34" t="s">
        <v>187</v>
      </c>
      <c r="AU34" t="s">
        <v>275</v>
      </c>
      <c r="CV34">
        <v>5</v>
      </c>
      <c r="CW34">
        <v>4</v>
      </c>
      <c r="CX34">
        <v>5</v>
      </c>
      <c r="CY34">
        <v>5</v>
      </c>
      <c r="CZ34">
        <v>5</v>
      </c>
      <c r="DA34">
        <v>5</v>
      </c>
      <c r="DB34">
        <v>5</v>
      </c>
      <c r="DC34">
        <v>5</v>
      </c>
      <c r="DD34">
        <v>5</v>
      </c>
      <c r="DE34">
        <v>5</v>
      </c>
      <c r="DF34">
        <v>5</v>
      </c>
      <c r="DG34">
        <v>4</v>
      </c>
      <c r="DH34" t="s">
        <v>408</v>
      </c>
      <c r="EV34" t="s">
        <v>190</v>
      </c>
      <c r="EW34" t="s">
        <v>190</v>
      </c>
      <c r="EX34" t="s">
        <v>308</v>
      </c>
      <c r="EY34" t="s">
        <v>226</v>
      </c>
      <c r="EZ34" t="s">
        <v>190</v>
      </c>
      <c r="FA34" t="s">
        <v>409</v>
      </c>
      <c r="FB34" t="s">
        <v>410</v>
      </c>
      <c r="FC34" t="s">
        <v>411</v>
      </c>
    </row>
    <row r="35" spans="1:159" x14ac:dyDescent="0.35">
      <c r="A35" t="str">
        <f>IF(AU35='Bộ lọc theo Ngành'!$C$5, MAX($A$1:A34)+1, "")</f>
        <v/>
      </c>
      <c r="B35" s="1">
        <v>46124.492041724538</v>
      </c>
      <c r="C35" t="s">
        <v>412</v>
      </c>
      <c r="D35" t="s">
        <v>413</v>
      </c>
      <c r="E35" t="s">
        <v>414</v>
      </c>
      <c r="F35" t="s">
        <v>415</v>
      </c>
      <c r="G35" t="s">
        <v>416</v>
      </c>
      <c r="H35" t="s">
        <v>417</v>
      </c>
      <c r="I35" t="s">
        <v>418</v>
      </c>
      <c r="J35" t="s">
        <v>419</v>
      </c>
      <c r="K35" t="s">
        <v>166</v>
      </c>
      <c r="L35" t="s">
        <v>420</v>
      </c>
      <c r="M35" t="s">
        <v>421</v>
      </c>
      <c r="N35">
        <v>3</v>
      </c>
      <c r="O35">
        <v>3</v>
      </c>
      <c r="P35">
        <v>3</v>
      </c>
      <c r="Q35">
        <v>2</v>
      </c>
      <c r="R35">
        <v>2</v>
      </c>
      <c r="S35">
        <v>4</v>
      </c>
      <c r="T35">
        <v>3</v>
      </c>
      <c r="U35">
        <v>2</v>
      </c>
      <c r="V35">
        <v>3</v>
      </c>
      <c r="W35">
        <v>3</v>
      </c>
      <c r="X35">
        <v>2</v>
      </c>
      <c r="Y35">
        <v>3</v>
      </c>
      <c r="Z35">
        <v>3</v>
      </c>
      <c r="AA35">
        <v>4</v>
      </c>
      <c r="AB35" t="s">
        <v>422</v>
      </c>
      <c r="AC35" t="s">
        <v>423</v>
      </c>
      <c r="AD35" t="s">
        <v>424</v>
      </c>
      <c r="AE35" t="s">
        <v>425</v>
      </c>
      <c r="AF35" t="s">
        <v>170</v>
      </c>
      <c r="AG35" t="s">
        <v>171</v>
      </c>
      <c r="AH35" t="s">
        <v>170</v>
      </c>
      <c r="AI35" t="s">
        <v>169</v>
      </c>
      <c r="AJ35" t="s">
        <v>171</v>
      </c>
      <c r="AK35" t="s">
        <v>171</v>
      </c>
      <c r="AL35" t="s">
        <v>172</v>
      </c>
      <c r="AM35" t="s">
        <v>173</v>
      </c>
      <c r="AN35">
        <v>4</v>
      </c>
      <c r="AO35">
        <v>5</v>
      </c>
      <c r="AP35">
        <v>5</v>
      </c>
      <c r="AQ35">
        <v>4</v>
      </c>
      <c r="AR35">
        <v>6</v>
      </c>
      <c r="AS35">
        <v>4</v>
      </c>
      <c r="AT35" t="s">
        <v>187</v>
      </c>
      <c r="AU35" t="s">
        <v>275</v>
      </c>
      <c r="CV35">
        <v>3</v>
      </c>
      <c r="CW35">
        <v>4</v>
      </c>
      <c r="CX35">
        <v>5</v>
      </c>
      <c r="CY35">
        <v>5</v>
      </c>
      <c r="CZ35">
        <v>4</v>
      </c>
      <c r="DA35">
        <v>4</v>
      </c>
      <c r="DB35">
        <v>4</v>
      </c>
      <c r="DC35">
        <v>4</v>
      </c>
      <c r="DD35">
        <v>4</v>
      </c>
      <c r="DE35">
        <v>5</v>
      </c>
      <c r="DF35">
        <v>5</v>
      </c>
      <c r="DG35">
        <v>5</v>
      </c>
      <c r="DH35" t="s">
        <v>426</v>
      </c>
      <c r="EV35" t="s">
        <v>190</v>
      </c>
      <c r="EW35" t="s">
        <v>308</v>
      </c>
      <c r="EX35" t="s">
        <v>308</v>
      </c>
      <c r="EY35" t="s">
        <v>226</v>
      </c>
      <c r="EZ35" t="s">
        <v>176</v>
      </c>
      <c r="FA35" t="s">
        <v>427</v>
      </c>
      <c r="FB35" t="s">
        <v>428</v>
      </c>
    </row>
    <row r="36" spans="1:159" x14ac:dyDescent="0.35">
      <c r="A36" t="str">
        <f>IF(AU36='Bộ lọc theo Ngành'!$C$5, MAX($A$1:A35)+1, "")</f>
        <v/>
      </c>
      <c r="B36" s="1">
        <v>46161.934434780087</v>
      </c>
      <c r="C36" t="s">
        <v>429</v>
      </c>
      <c r="D36" t="s">
        <v>430</v>
      </c>
      <c r="E36" t="s">
        <v>431</v>
      </c>
      <c r="F36" t="s">
        <v>432</v>
      </c>
      <c r="G36" t="s">
        <v>433</v>
      </c>
      <c r="H36" t="s">
        <v>434</v>
      </c>
      <c r="I36" t="s">
        <v>432</v>
      </c>
      <c r="J36">
        <v>24</v>
      </c>
      <c r="K36" t="s">
        <v>297</v>
      </c>
      <c r="L36" t="s">
        <v>435</v>
      </c>
      <c r="M36" t="s">
        <v>436</v>
      </c>
      <c r="N36">
        <v>4</v>
      </c>
      <c r="O36">
        <v>4</v>
      </c>
      <c r="P36">
        <v>4</v>
      </c>
      <c r="Q36">
        <v>4</v>
      </c>
      <c r="R36">
        <v>3</v>
      </c>
      <c r="S36">
        <v>3</v>
      </c>
      <c r="T36">
        <v>4</v>
      </c>
      <c r="U36">
        <v>4</v>
      </c>
      <c r="V36">
        <v>4</v>
      </c>
      <c r="W36">
        <v>4</v>
      </c>
      <c r="X36">
        <v>4</v>
      </c>
      <c r="Y36">
        <v>4</v>
      </c>
      <c r="Z36">
        <v>5</v>
      </c>
      <c r="AA36">
        <v>5</v>
      </c>
      <c r="AB36" t="s">
        <v>437</v>
      </c>
      <c r="AC36" t="s">
        <v>438</v>
      </c>
      <c r="AD36">
        <v>0.5</v>
      </c>
      <c r="AE36" t="s">
        <v>439</v>
      </c>
      <c r="AF36" t="s">
        <v>170</v>
      </c>
      <c r="AG36" t="s">
        <v>170</v>
      </c>
      <c r="AH36" t="s">
        <v>170</v>
      </c>
      <c r="AI36" t="s">
        <v>171</v>
      </c>
      <c r="AJ36" t="s">
        <v>171</v>
      </c>
      <c r="AK36" t="s">
        <v>170</v>
      </c>
      <c r="AL36" t="s">
        <v>204</v>
      </c>
      <c r="AM36" t="s">
        <v>173</v>
      </c>
      <c r="AN36">
        <v>4</v>
      </c>
      <c r="AO36">
        <v>4</v>
      </c>
      <c r="AP36">
        <v>5</v>
      </c>
      <c r="AQ36">
        <v>4</v>
      </c>
      <c r="AR36">
        <v>6</v>
      </c>
      <c r="AS36">
        <v>5</v>
      </c>
      <c r="AT36" t="s">
        <v>174</v>
      </c>
      <c r="AU36" t="s">
        <v>206</v>
      </c>
      <c r="DV36">
        <v>5</v>
      </c>
      <c r="DW36">
        <v>3</v>
      </c>
      <c r="DX36">
        <v>4</v>
      </c>
      <c r="DY36">
        <v>4</v>
      </c>
      <c r="DZ36">
        <v>5</v>
      </c>
      <c r="EA36">
        <v>4</v>
      </c>
      <c r="EB36">
        <v>5</v>
      </c>
      <c r="EC36">
        <v>4</v>
      </c>
      <c r="ED36">
        <v>3</v>
      </c>
      <c r="EE36">
        <v>4</v>
      </c>
      <c r="EF36">
        <v>3</v>
      </c>
      <c r="EG36">
        <v>3</v>
      </c>
      <c r="EV36" t="s">
        <v>176</v>
      </c>
      <c r="EW36" t="s">
        <v>176</v>
      </c>
      <c r="EX36" t="s">
        <v>226</v>
      </c>
      <c r="EY36" t="s">
        <v>226</v>
      </c>
      <c r="EZ36" t="s">
        <v>226</v>
      </c>
      <c r="FC36" t="s">
        <v>440</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I250"/>
  <sheetViews>
    <sheetView showGridLines="0" workbookViewId="0"/>
  </sheetViews>
  <sheetFormatPr defaultRowHeight="14.5" x14ac:dyDescent="0.35"/>
  <cols>
    <col min="1" max="1" width="12" customWidth="1"/>
    <col min="2" max="2" width="45" customWidth="1"/>
    <col min="3" max="4" width="35" customWidth="1"/>
    <col min="5" max="6" width="25" customWidth="1"/>
    <col min="7" max="9" width="12" customWidth="1"/>
  </cols>
  <sheetData>
    <row r="2" spans="2:9" ht="25" x14ac:dyDescent="0.7">
      <c r="B2" s="2" t="s">
        <v>441</v>
      </c>
    </row>
    <row r="3" spans="2:9" ht="16" x14ac:dyDescent="0.45">
      <c r="B3" s="3" t="s">
        <v>442</v>
      </c>
    </row>
    <row r="5" spans="2:9" ht="16.5" x14ac:dyDescent="0.45">
      <c r="B5" s="4" t="s">
        <v>443</v>
      </c>
      <c r="C5" s="5" t="s">
        <v>175</v>
      </c>
    </row>
    <row r="7" spans="2:9" x14ac:dyDescent="0.35">
      <c r="B7" s="33">
        <f>COUNTIFS(Data_Source!$AU$2:$AU$100, $C$5)</f>
        <v>2</v>
      </c>
      <c r="C7" s="34"/>
      <c r="D7" s="33">
        <f>COUNTIFS(Data_Source!$AU$2:$AU$100, $C$5, Data_Source!$K$2:$K$100, "Tư nhân")</f>
        <v>2</v>
      </c>
      <c r="E7" s="34"/>
      <c r="F7" s="33">
        <f>COUNTIFS(Data_Source!$AU$2:$AU$100, $C$5, Data_Source!$K$2:$K$100, "100% vốn đầu tư nước ngoài")</f>
        <v>0</v>
      </c>
      <c r="G7" s="34"/>
      <c r="H7" s="33">
        <f>COUNTIFS(Data_Source!$AU$2:$AU$100, $C$5, Data_Source!$AM$2:$AM$100, "Khá") + COUNTIFS(Data_Source!$AU$2:$AU$100, $C$5, Data_Source!$AM$2:$AM$100, "Tốt")</f>
        <v>2</v>
      </c>
      <c r="I7" s="34"/>
    </row>
    <row r="8" spans="2:9" x14ac:dyDescent="0.35">
      <c r="B8" s="35" t="s">
        <v>444</v>
      </c>
      <c r="C8" s="34"/>
      <c r="D8" s="35" t="s">
        <v>445</v>
      </c>
      <c r="E8" s="34"/>
      <c r="F8" s="35" t="s">
        <v>446</v>
      </c>
      <c r="G8" s="34"/>
      <c r="H8" s="35" t="s">
        <v>447</v>
      </c>
      <c r="I8" s="34"/>
    </row>
    <row r="11" spans="2:9" ht="17.5" x14ac:dyDescent="0.45">
      <c r="B11" s="6" t="s">
        <v>448</v>
      </c>
      <c r="E11" s="6" t="s">
        <v>449</v>
      </c>
    </row>
    <row r="13" spans="2:9" ht="16" x14ac:dyDescent="0.45">
      <c r="B13" s="7" t="s">
        <v>450</v>
      </c>
      <c r="C13" s="8" t="s">
        <v>451</v>
      </c>
      <c r="E13" s="8" t="s">
        <v>452</v>
      </c>
      <c r="F13" s="8" t="s">
        <v>453</v>
      </c>
    </row>
    <row r="14" spans="2:9" ht="16" x14ac:dyDescent="0.45">
      <c r="B14" s="9" t="s">
        <v>454</v>
      </c>
      <c r="C14" s="10">
        <f>IFERROR(AVERAGEIFS(Data_Source!$N$2:$N$100, Data_Source!$AU$2:$AU$100, $C$5), "")</f>
        <v>3.5</v>
      </c>
      <c r="E14" s="11" t="s">
        <v>455</v>
      </c>
      <c r="F14" s="10">
        <f>IF($C$5="CHUYÊN NGÀNH CƠ KHÍ NÔNG LÂM", IFERROR(AVERAGEIFS(Data_Source!$AV$2:$AV$100, Data_Source!$AU$2:$AU$100, $C$5), ""), IF($C$5="CƠ KHÍ CHẾ BIẾN VÀ BẢO QUẢN NÔNG SẢN THỰC PHẨM", IFERROR(AVERAGEIFS(Data_Source!$BI$2:$BI$100, Data_Source!$AU$2:$AU$100, $C$5), ""), IF($C$5="CÔNG NGHỆ KỸ THUẬT CƠ KHÍ - CHƯƠNG TRÌNH NÂNG CAO", IFERROR(AVERAGEIFS(Data_Source!$BV$2:$BV$100, Data_Source!$AU$2:$AU$100, $C$5), ""), IF($C$5="CÔNG NGHỆ KỸ THUẬT Ô TÔ", IFERROR(AVERAGEIFS(Data_Source!$CI$2:$CI$100, Data_Source!$AU$2:$AU$100, $C$5), ""), IF($C$5="CÔNG NGHỆ KỸ THUẬT CƠ ĐIỆN TỬ", IFERROR(AVERAGEIFS(Data_Source!$CV$2:$CV$100, Data_Source!$AU$2:$AU$100, $C$5), ""), IF($C$5="CÔNG NGHỆ KỸ THUẬT NHIỆT", IFERROR(AVERAGEIFS(Data_Source!$DI$2:$DI$100, Data_Source!$AU$2:$AU$100, $C$5), ""), IF($C$5="KỸ THUẬT ĐIỀU KHIỂN VÀ TỰ ĐỘNG HÓA", IFERROR(AVERAGEIFS(Data_Source!$DV$2:$DV$100, Data_Source!$AU$2:$AU$100, $C$5), ""), IF($C$5="CÔNG NGHỆ KỸ THUẬT NĂNG LƯỢNG TÁI TẠO", IFERROR(AVERAGEIFS(Data_Source!$EI$2:$EI$100, Data_Source!$AU$2:$AU$100, $C$5), ""), ""))))))))</f>
        <v>2.5</v>
      </c>
    </row>
    <row r="15" spans="2:9" ht="16" x14ac:dyDescent="0.45">
      <c r="B15" s="12" t="s">
        <v>456</v>
      </c>
      <c r="C15" s="13">
        <f>IFERROR(AVERAGEIFS(Data_Source!$O$2:$O$100, Data_Source!$AU$2:$AU$100, $C$5), "")</f>
        <v>3.5</v>
      </c>
      <c r="E15" s="14" t="s">
        <v>457</v>
      </c>
      <c r="F15" s="13">
        <f>IF($C$5="CHUYÊN NGÀNH CƠ KHÍ NÔNG LÂM", IFERROR(AVERAGEIFS(Data_Source!$AW$2:$AW$100, Data_Source!$AU$2:$AU$100, $C$5), ""), IF($C$5="CƠ KHÍ CHẾ BIẾN VÀ BẢO QUẢN NÔNG SẢN THỰC PHẨM", IFERROR(AVERAGEIFS(Data_Source!$BJ$2:$BJ$100, Data_Source!$AU$2:$AU$100, $C$5), ""), IF($C$5="CÔNG NGHỆ KỸ THUẬT CƠ KHÍ - CHƯƠNG TRÌNH NÂNG CAO", IFERROR(AVERAGEIFS(Data_Source!$BW$2:$BW$100, Data_Source!$AU$2:$AU$100, $C$5), ""), IF($C$5="CÔNG NGHỆ KỸ THUẬT Ô TÔ", IFERROR(AVERAGEIFS(Data_Source!$CJ$2:$CJ$100, Data_Source!$AU$2:$AU$100, $C$5), ""), IF($C$5="CÔNG NGHỆ KỸ THUẬT CƠ ĐIỆN TỬ", IFERROR(AVERAGEIFS(Data_Source!$CW$2:$CW$100, Data_Source!$AU$2:$AU$100, $C$5), ""), IF($C$5="CÔNG NGHỆ KỸ THUẬT NHIỆT", IFERROR(AVERAGEIFS(Data_Source!$DJ$2:$DJ$100, Data_Source!$AU$2:$AU$100, $C$5), ""), IF($C$5="KỸ THUẬT ĐIỀU KHIỂN VÀ TỰ ĐỘNG HÓA", IFERROR(AVERAGEIFS(Data_Source!$DW$2:$DW$100, Data_Source!$AU$2:$AU$100, $C$5), ""), IF($C$5="CÔNG NGHỆ KỸ THUẬT NĂNG LƯỢNG TÁI TẠO", IFERROR(AVERAGEIFS(Data_Source!$EJ$2:$EJ$100, Data_Source!$AU$2:$AU$100, $C$5), ""), ""))))))))</f>
        <v>2.5</v>
      </c>
    </row>
    <row r="16" spans="2:9" ht="16" x14ac:dyDescent="0.45">
      <c r="B16" s="9" t="s">
        <v>458</v>
      </c>
      <c r="C16" s="10">
        <f>IFERROR(AVERAGEIFS(Data_Source!$P$2:$P$100, Data_Source!$AU$2:$AU$100, $C$5), "")</f>
        <v>4</v>
      </c>
      <c r="E16" s="11" t="s">
        <v>459</v>
      </c>
      <c r="F16" s="10">
        <f>IF($C$5="CHUYÊN NGÀNH CƠ KHÍ NÔNG LÂM", IFERROR(AVERAGEIFS(Data_Source!$AX$2:$AX$100, Data_Source!$AU$2:$AU$100, $C$5), ""), IF($C$5="CƠ KHÍ CHẾ BIẾN VÀ BẢO QUẢN NÔNG SẢN THỰC PHẨM", IFERROR(AVERAGEIFS(Data_Source!$BK$2:$BK$100, Data_Source!$AU$2:$AU$100, $C$5), ""), IF($C$5="CÔNG NGHỆ KỸ THUẬT CƠ KHÍ - CHƯƠNG TRÌNH NÂNG CAO", IFERROR(AVERAGEIFS(Data_Source!$BX$2:$BX$100, Data_Source!$AU$2:$AU$100, $C$5), ""), IF($C$5="CÔNG NGHỆ KỸ THUẬT Ô TÔ", IFERROR(AVERAGEIFS(Data_Source!$CK$2:$CK$100, Data_Source!$AU$2:$AU$100, $C$5), ""), IF($C$5="CÔNG NGHỆ KỸ THUẬT CƠ ĐIỆN TỬ", IFERROR(AVERAGEIFS(Data_Source!$CX$2:$CX$100, Data_Source!$AU$2:$AU$100, $C$5), ""), IF($C$5="CÔNG NGHỆ KỸ THUẬT NHIỆT", IFERROR(AVERAGEIFS(Data_Source!$DK$2:$DK$100, Data_Source!$AU$2:$AU$100, $C$5), ""), IF($C$5="KỸ THUẬT ĐIỀU KHIỂN VÀ TỰ ĐỘNG HÓA", IFERROR(AVERAGEIFS(Data_Source!$DX$2:$DX$100, Data_Source!$AU$2:$AU$100, $C$5), ""), IF($C$5="CÔNG NGHỆ KỸ THUẬT NĂNG LƯỢNG TÁI TẠO", IFERROR(AVERAGEIFS(Data_Source!$EK$2:$EK$100, Data_Source!$AU$2:$AU$100, $C$5), ""), ""))))))))</f>
        <v>2.5</v>
      </c>
    </row>
    <row r="17" spans="2:6" ht="16" x14ac:dyDescent="0.45">
      <c r="B17" s="12" t="s">
        <v>460</v>
      </c>
      <c r="C17" s="13">
        <f>IFERROR(AVERAGEIFS(Data_Source!$Q$2:$Q$100, Data_Source!$AU$2:$AU$100, $C$5), "")</f>
        <v>3.5</v>
      </c>
      <c r="E17" s="14" t="s">
        <v>461</v>
      </c>
      <c r="F17" s="13">
        <f>IF($C$5="CHUYÊN NGÀNH CƠ KHÍ NÔNG LÂM", IFERROR(AVERAGEIFS(Data_Source!$AY$2:$AY$100, Data_Source!$AU$2:$AU$100, $C$5), ""), IF($C$5="CƠ KHÍ CHẾ BIẾN VÀ BẢO QUẢN NÔNG SẢN THỰC PHẨM", IFERROR(AVERAGEIFS(Data_Source!$BL$2:$BL$100, Data_Source!$AU$2:$AU$100, $C$5), ""), IF($C$5="CÔNG NGHỆ KỸ THUẬT CƠ KHÍ - CHƯƠNG TRÌNH NÂNG CAO", IFERROR(AVERAGEIFS(Data_Source!$BY$2:$BY$100, Data_Source!$AU$2:$AU$100, $C$5), ""), IF($C$5="CÔNG NGHỆ KỸ THUẬT Ô TÔ", IFERROR(AVERAGEIFS(Data_Source!$CL$2:$CL$100, Data_Source!$AU$2:$AU$100, $C$5), ""), IF($C$5="CÔNG NGHỆ KỸ THUẬT CƠ ĐIỆN TỬ", IFERROR(AVERAGEIFS(Data_Source!$CY$2:$CY$100, Data_Source!$AU$2:$AU$100, $C$5), ""), IF($C$5="CÔNG NGHỆ KỸ THUẬT NHIỆT", IFERROR(AVERAGEIFS(Data_Source!$DL$2:$DL$100, Data_Source!$AU$2:$AU$100, $C$5), ""), IF($C$5="KỸ THUẬT ĐIỀU KHIỂN VÀ TỰ ĐỘNG HÓA", IFERROR(AVERAGEIFS(Data_Source!$DY$2:$DY$100, Data_Source!$AU$2:$AU$100, $C$5), ""), IF($C$5="CÔNG NGHỆ KỸ THUẬT NĂNG LƯỢNG TÁI TẠO", IFERROR(AVERAGEIFS(Data_Source!$EL$2:$EL$100, Data_Source!$AU$2:$AU$100, $C$5), ""), ""))))))))</f>
        <v>2.5</v>
      </c>
    </row>
    <row r="18" spans="2:6" ht="16" x14ac:dyDescent="0.45">
      <c r="B18" s="9" t="s">
        <v>462</v>
      </c>
      <c r="C18" s="10">
        <f>IFERROR(AVERAGEIFS(Data_Source!$R$2:$R$100, Data_Source!$AU$2:$AU$100, $C$5), "")</f>
        <v>3</v>
      </c>
      <c r="E18" s="11" t="s">
        <v>463</v>
      </c>
      <c r="F18" s="10">
        <f>IF($C$5="CHUYÊN NGÀNH CƠ KHÍ NÔNG LÂM", IFERROR(AVERAGEIFS(Data_Source!$AZ$2:$AZ$100, Data_Source!$AU$2:$AU$100, $C$5), ""), IF($C$5="CƠ KHÍ CHẾ BIẾN VÀ BẢO QUẢN NÔNG SẢN THỰC PHẨM", IFERROR(AVERAGEIFS(Data_Source!$BM$2:$BM$100, Data_Source!$AU$2:$AU$100, $C$5), ""), IF($C$5="CÔNG NGHỆ KỸ THUẬT CƠ KHÍ - CHƯƠNG TRÌNH NÂNG CAO", IFERROR(AVERAGEIFS(Data_Source!$BZ$2:$BZ$100, Data_Source!$AU$2:$AU$100, $C$5), ""), IF($C$5="CÔNG NGHỆ KỸ THUẬT Ô TÔ", IFERROR(AVERAGEIFS(Data_Source!$CM$2:$CM$100, Data_Source!$AU$2:$AU$100, $C$5), ""), IF($C$5="CÔNG NGHỆ KỸ THUẬT CƠ ĐIỆN TỬ", IFERROR(AVERAGEIFS(Data_Source!$CZ$2:$CZ$100, Data_Source!$AU$2:$AU$100, $C$5), ""), IF($C$5="CÔNG NGHỆ KỸ THUẬT NHIỆT", IFERROR(AVERAGEIFS(Data_Source!$DM$2:$DM$100, Data_Source!$AU$2:$AU$100, $C$5), ""), IF($C$5="KỸ THUẬT ĐIỀU KHIỂN VÀ TỰ ĐỘNG HÓA", IFERROR(AVERAGEIFS(Data_Source!$DZ$2:$DZ$100, Data_Source!$AU$2:$AU$100, $C$5), ""), IF($C$5="CÔNG NGHỆ KỸ THUẬT NĂNG LƯỢNG TÁI TẠO", IFERROR(AVERAGEIFS(Data_Source!$EM$2:$EM$100, Data_Source!$AU$2:$AU$100, $C$5), ""), ""))))))))</f>
        <v>2.5</v>
      </c>
    </row>
    <row r="19" spans="2:6" ht="16" x14ac:dyDescent="0.45">
      <c r="B19" s="12" t="s">
        <v>464</v>
      </c>
      <c r="C19" s="13">
        <f>IFERROR(AVERAGEIFS(Data_Source!$S$2:$S$100, Data_Source!$AU$2:$AU$100, $C$5), "")</f>
        <v>4.5</v>
      </c>
      <c r="E19" s="14" t="s">
        <v>465</v>
      </c>
      <c r="F19" s="13">
        <f>IF($C$5="CHUYÊN NGÀNH CƠ KHÍ NÔNG LÂM", IFERROR(AVERAGEIFS(Data_Source!$BA$2:$BA$100, Data_Source!$AU$2:$AU$100, $C$5), ""), IF($C$5="CƠ KHÍ CHẾ BIẾN VÀ BẢO QUẢN NÔNG SẢN THỰC PHẨM", IFERROR(AVERAGEIFS(Data_Source!$BN$2:$BN$100, Data_Source!$AU$2:$AU$100, $C$5), ""), IF($C$5="CÔNG NGHỆ KỸ THUẬT CƠ KHÍ - CHƯƠNG TRÌNH NÂNG CAO", IFERROR(AVERAGEIFS(Data_Source!$CA$2:$CA$100, Data_Source!$AU$2:$AU$100, $C$5), ""), IF($C$5="CÔNG NGHỆ KỸ THUẬT Ô TÔ", IFERROR(AVERAGEIFS(Data_Source!$CN$2:$CN$100, Data_Source!$AU$2:$AU$100, $C$5), ""), IF($C$5="CÔNG NGHỆ KỸ THUẬT CƠ ĐIỆN TỬ", IFERROR(AVERAGEIFS(Data_Source!$DA$2:$DA$100, Data_Source!$AU$2:$AU$100, $C$5), ""), IF($C$5="CÔNG NGHỆ KỸ THUẬT NHIỆT", IFERROR(AVERAGEIFS(Data_Source!$DN$2:$DN$100, Data_Source!$AU$2:$AU$100, $C$5), ""), IF($C$5="KỸ THUẬT ĐIỀU KHIỂN VÀ TỰ ĐỘNG HÓA", IFERROR(AVERAGEIFS(Data_Source!$EA$2:$EA$100, Data_Source!$AU$2:$AU$100, $C$5), ""), IF($C$5="CÔNG NGHỆ KỸ THUẬT NĂNG LƯỢNG TÁI TẠO", IFERROR(AVERAGEIFS(Data_Source!$EN$2:$EN$100, Data_Source!$AU$2:$AU$100, $C$5), ""), ""))))))))</f>
        <v>4.5</v>
      </c>
    </row>
    <row r="20" spans="2:6" ht="16" x14ac:dyDescent="0.45">
      <c r="B20" s="9" t="s">
        <v>466</v>
      </c>
      <c r="C20" s="10">
        <f>IFERROR(AVERAGEIFS(Data_Source!$T$2:$T$100, Data_Source!$AU$2:$AU$100, $C$5), "")</f>
        <v>4</v>
      </c>
      <c r="E20" s="11" t="s">
        <v>467</v>
      </c>
      <c r="F20" s="10">
        <f>IF($C$5="CHUYÊN NGÀNH CƠ KHÍ NÔNG LÂM", IFERROR(AVERAGEIFS(Data_Source!$BB$2:$BB$100, Data_Source!$AU$2:$AU$100, $C$5), ""), IF($C$5="CƠ KHÍ CHẾ BIẾN VÀ BẢO QUẢN NÔNG SẢN THỰC PHẨM", IFERROR(AVERAGEIFS(Data_Source!$BO$2:$BO$100, Data_Source!$AU$2:$AU$100, $C$5), ""), IF($C$5="CÔNG NGHỆ KỸ THUẬT CƠ KHÍ - CHƯƠNG TRÌNH NÂNG CAO", IFERROR(AVERAGEIFS(Data_Source!$CB$2:$CB$100, Data_Source!$AU$2:$AU$100, $C$5), ""), IF($C$5="CÔNG NGHỆ KỸ THUẬT Ô TÔ", IFERROR(AVERAGEIFS(Data_Source!$CO$2:$CO$100, Data_Source!$AU$2:$AU$100, $C$5), ""), IF($C$5="CÔNG NGHỆ KỸ THUẬT CƠ ĐIỆN TỬ", IFERROR(AVERAGEIFS(Data_Source!$DB$2:$DB$100, Data_Source!$AU$2:$AU$100, $C$5), ""), IF($C$5="CÔNG NGHỆ KỸ THUẬT NHIỆT", IFERROR(AVERAGEIFS(Data_Source!$DO$2:$DO$100, Data_Source!$AU$2:$AU$100, $C$5), ""), IF($C$5="KỸ THUẬT ĐIỀU KHIỂN VÀ TỰ ĐỘNG HÓA", IFERROR(AVERAGEIFS(Data_Source!$EB$2:$EB$100, Data_Source!$AU$2:$AU$100, $C$5), ""), IF($C$5="CÔNG NGHỆ KỸ THUẬT NĂNG LƯỢNG TÁI TẠO", IFERROR(AVERAGEIFS(Data_Source!$EO$2:$EO$100, Data_Source!$AU$2:$AU$100, $C$5), ""), ""))))))))</f>
        <v>4.5</v>
      </c>
    </row>
    <row r="21" spans="2:6" ht="16" x14ac:dyDescent="0.45">
      <c r="B21" s="12" t="s">
        <v>468</v>
      </c>
      <c r="C21" s="13">
        <f>IFERROR(AVERAGEIFS(Data_Source!$U$2:$U$100, Data_Source!$AU$2:$AU$100, $C$5), "")</f>
        <v>4</v>
      </c>
      <c r="E21" s="14" t="s">
        <v>469</v>
      </c>
      <c r="F21" s="13">
        <f>IF($C$5="CHUYÊN NGÀNH CƠ KHÍ NÔNG LÂM", IFERROR(AVERAGEIFS(Data_Source!$BC$2:$BC$100, Data_Source!$AU$2:$AU$100, $C$5), ""), IF($C$5="CƠ KHÍ CHẾ BIẾN VÀ BẢO QUẢN NÔNG SẢN THỰC PHẨM", IFERROR(AVERAGEIFS(Data_Source!$BP$2:$BP$100, Data_Source!$AU$2:$AU$100, $C$5), ""), IF($C$5="CÔNG NGHỆ KỸ THUẬT CƠ KHÍ - CHƯƠNG TRÌNH NÂNG CAO", IFERROR(AVERAGEIFS(Data_Source!$CC$2:$CC$100, Data_Source!$AU$2:$AU$100, $C$5), ""), IF($C$5="CÔNG NGHỆ KỸ THUẬT Ô TÔ", IFERROR(AVERAGEIFS(Data_Source!$CP$2:$CP$100, Data_Source!$AU$2:$AU$100, $C$5), ""), IF($C$5="CÔNG NGHỆ KỸ THUẬT CƠ ĐIỆN TỬ", IFERROR(AVERAGEIFS(Data_Source!$DC$2:$DC$100, Data_Source!$AU$2:$AU$100, $C$5), ""), IF($C$5="CÔNG NGHỆ KỸ THUẬT NHIỆT", IFERROR(AVERAGEIFS(Data_Source!$DP$2:$DP$100, Data_Source!$AU$2:$AU$100, $C$5), ""), IF($C$5="KỸ THUẬT ĐIỀU KHIỂN VÀ TỰ ĐỘNG HÓA", IFERROR(AVERAGEIFS(Data_Source!$EC$2:$EC$100, Data_Source!$AU$2:$AU$100, $C$5), ""), IF($C$5="CÔNG NGHỆ KỸ THUẬT NĂNG LƯỢNG TÁI TẠO", IFERROR(AVERAGEIFS(Data_Source!$EP$2:$EP$100, Data_Source!$AU$2:$AU$100, $C$5), ""), ""))))))))</f>
        <v>2.5</v>
      </c>
    </row>
    <row r="22" spans="2:6" ht="16" x14ac:dyDescent="0.45">
      <c r="B22" s="9" t="s">
        <v>470</v>
      </c>
      <c r="C22" s="10">
        <f>IFERROR(AVERAGEIFS(Data_Source!$V$2:$V$100, Data_Source!$AU$2:$AU$100, $C$5), "")</f>
        <v>4.5</v>
      </c>
      <c r="E22" s="11" t="s">
        <v>471</v>
      </c>
      <c r="F22" s="10">
        <f>IF($C$5="CHUYÊN NGÀNH CƠ KHÍ NÔNG LÂM", IFERROR(AVERAGEIFS(Data_Source!$BD$2:$BD$100, Data_Source!$AU$2:$AU$100, $C$5), ""), IF($C$5="CƠ KHÍ CHẾ BIẾN VÀ BẢO QUẢN NÔNG SẢN THỰC PHẨM", IFERROR(AVERAGEIFS(Data_Source!$BQ$2:$BQ$100, Data_Source!$AU$2:$AU$100, $C$5), ""), IF($C$5="CÔNG NGHỆ KỸ THUẬT CƠ KHÍ - CHƯƠNG TRÌNH NÂNG CAO", IFERROR(AVERAGEIFS(Data_Source!$CD$2:$CD$100, Data_Source!$AU$2:$AU$100, $C$5), ""), IF($C$5="CÔNG NGHỆ KỸ THUẬT Ô TÔ", IFERROR(AVERAGEIFS(Data_Source!$CQ$2:$CQ$100, Data_Source!$AU$2:$AU$100, $C$5), ""), IF($C$5="CÔNG NGHỆ KỸ THUẬT CƠ ĐIỆN TỬ", IFERROR(AVERAGEIFS(Data_Source!$DD$2:$DD$100, Data_Source!$AU$2:$AU$100, $C$5), ""), IF($C$5="CÔNG NGHỆ KỸ THUẬT NHIỆT", IFERROR(AVERAGEIFS(Data_Source!$DQ$2:$DQ$100, Data_Source!$AU$2:$AU$100, $C$5), ""), IF($C$5="KỸ THUẬT ĐIỀU KHIỂN VÀ TỰ ĐỘNG HÓA", IFERROR(AVERAGEIFS(Data_Source!$ED$2:$ED$100, Data_Source!$AU$2:$AU$100, $C$5), ""), IF($C$5="CÔNG NGHỆ KỸ THUẬT NĂNG LƯỢNG TÁI TẠO", IFERROR(AVERAGEIFS(Data_Source!$EQ$2:$EQ$100, Data_Source!$AU$2:$AU$100, $C$5), ""), ""))))))))</f>
        <v>2.5</v>
      </c>
    </row>
    <row r="23" spans="2:6" ht="16" x14ac:dyDescent="0.45">
      <c r="B23" s="12" t="s">
        <v>472</v>
      </c>
      <c r="C23" s="13">
        <f>IFERROR(AVERAGEIFS(Data_Source!$W$2:$W$100, Data_Source!$AU$2:$AU$100, $C$5), "")</f>
        <v>3.5</v>
      </c>
      <c r="E23" s="14" t="s">
        <v>473</v>
      </c>
      <c r="F23" s="13">
        <f>IF($C$5="CHUYÊN NGÀNH CƠ KHÍ NÔNG LÂM", IFERROR(AVERAGEIFS(Data_Source!$BE$2:$BE$100, Data_Source!$AU$2:$AU$100, $C$5), ""), IF($C$5="CƠ KHÍ CHẾ BIẾN VÀ BẢO QUẢN NÔNG SẢN THỰC PHẨM", IFERROR(AVERAGEIFS(Data_Source!$BR$2:$BR$100, Data_Source!$AU$2:$AU$100, $C$5), ""), IF($C$5="CÔNG NGHỆ KỸ THUẬT CƠ KHÍ - CHƯƠNG TRÌNH NÂNG CAO", IFERROR(AVERAGEIFS(Data_Source!$CE$2:$CE$100, Data_Source!$AU$2:$AU$100, $C$5), ""), IF($C$5="CÔNG NGHỆ KỸ THUẬT Ô TÔ", IFERROR(AVERAGEIFS(Data_Source!$CR$2:$CR$100, Data_Source!$AU$2:$AU$100, $C$5), ""), IF($C$5="CÔNG NGHỆ KỸ THUẬT CƠ ĐIỆN TỬ", IFERROR(AVERAGEIFS(Data_Source!$DE$2:$DE$100, Data_Source!$AU$2:$AU$100, $C$5), ""), IF($C$5="CÔNG NGHỆ KỸ THUẬT NHIỆT", IFERROR(AVERAGEIFS(Data_Source!$DR$2:$DR$100, Data_Source!$AU$2:$AU$100, $C$5), ""), IF($C$5="KỸ THUẬT ĐIỀU KHIỂN VÀ TỰ ĐỘNG HÓA", IFERROR(AVERAGEIFS(Data_Source!$EE$2:$EE$100, Data_Source!$AU$2:$AU$100, $C$5), ""), IF($C$5="CÔNG NGHỆ KỸ THUẬT NĂNG LƯỢNG TÁI TẠO", IFERROR(AVERAGEIFS(Data_Source!$ER$2:$ER$100, Data_Source!$AU$2:$AU$100, $C$5), ""), ""))))))))</f>
        <v>2.5</v>
      </c>
    </row>
    <row r="24" spans="2:6" ht="16" x14ac:dyDescent="0.45">
      <c r="B24" s="9" t="s">
        <v>474</v>
      </c>
      <c r="C24" s="10">
        <f>IFERROR(AVERAGEIFS(Data_Source!$X$2:$X$100, Data_Source!$AU$2:$AU$100, $C$5), "")</f>
        <v>4.5</v>
      </c>
      <c r="E24" s="11" t="s">
        <v>475</v>
      </c>
      <c r="F24" s="10">
        <f>IF($C$5="CHUYÊN NGÀNH CƠ KHÍ NÔNG LÂM", IFERROR(AVERAGEIFS(Data_Source!$BF$2:$BF$100, Data_Source!$AU$2:$AU$100, $C$5), ""), IF($C$5="CƠ KHÍ CHẾ BIẾN VÀ BẢO QUẢN NÔNG SẢN THỰC PHẨM", IFERROR(AVERAGEIFS(Data_Source!$BS$2:$BS$100, Data_Source!$AU$2:$AU$100, $C$5), ""), IF($C$5="CÔNG NGHỆ KỸ THUẬT CƠ KHÍ - CHƯƠNG TRÌNH NÂNG CAO", IFERROR(AVERAGEIFS(Data_Source!$CF$2:$CF$100, Data_Source!$AU$2:$AU$100, $C$5), ""), IF($C$5="CÔNG NGHỆ KỸ THUẬT Ô TÔ", IFERROR(AVERAGEIFS(Data_Source!$CS$2:$CS$100, Data_Source!$AU$2:$AU$100, $C$5), ""), IF($C$5="CÔNG NGHỆ KỸ THUẬT CƠ ĐIỆN TỬ", IFERROR(AVERAGEIFS(Data_Source!$DF$2:$DF$100, Data_Source!$AU$2:$AU$100, $C$5), ""), IF($C$5="CÔNG NGHỆ KỸ THUẬT NHIỆT", IFERROR(AVERAGEIFS(Data_Source!$DS$2:$DS$100, Data_Source!$AU$2:$AU$100, $C$5), ""), IF($C$5="KỸ THUẬT ĐIỀU KHIỂN VÀ TỰ ĐỘNG HÓA", IFERROR(AVERAGEIFS(Data_Source!$EF$2:$EF$100, Data_Source!$AU$2:$AU$100, $C$5), ""), IF($C$5="CÔNG NGHỆ KỸ THUẬT NĂNG LƯỢNG TÁI TẠO", IFERROR(AVERAGEIFS(Data_Source!$ES$2:$ES$100, Data_Source!$AU$2:$AU$100, $C$5), ""), ""))))))))</f>
        <v>2.5</v>
      </c>
    </row>
    <row r="25" spans="2:6" ht="16" x14ac:dyDescent="0.45">
      <c r="B25" s="12" t="s">
        <v>476</v>
      </c>
      <c r="C25" s="13">
        <f>IFERROR(AVERAGEIFS(Data_Source!$Y$2:$Y$100, Data_Source!$AU$2:$AU$100, $C$5), "")</f>
        <v>4</v>
      </c>
      <c r="E25" s="14" t="s">
        <v>477</v>
      </c>
      <c r="F25" s="13">
        <f>IF($C$5="CHUYÊN NGÀNH CƠ KHÍ NÔNG LÂM", IFERROR(AVERAGEIFS(Data_Source!$BG$2:$BG$100, Data_Source!$AU$2:$AU$100, $C$5), ""), IF($C$5="CƠ KHÍ CHẾ BIẾN VÀ BẢO QUẢN NÔNG SẢN THỰC PHẨM", IFERROR(AVERAGEIFS(Data_Source!$BT$2:$BT$100, Data_Source!$AU$2:$AU$100, $C$5), ""), IF($C$5="CÔNG NGHỆ KỸ THUẬT CƠ KHÍ - CHƯƠNG TRÌNH NÂNG CAO", IFERROR(AVERAGEIFS(Data_Source!$CG$2:$CG$100, Data_Source!$AU$2:$AU$100, $C$5), ""), IF($C$5="CÔNG NGHỆ KỸ THUẬT Ô TÔ", IFERROR(AVERAGEIFS(Data_Source!$CT$2:$CT$100, Data_Source!$AU$2:$AU$100, $C$5), ""), IF($C$5="CÔNG NGHỆ KỸ THUẬT CƠ ĐIỆN TỬ", IFERROR(AVERAGEIFS(Data_Source!$DG$2:$DG$100, Data_Source!$AU$2:$AU$100, $C$5), ""), IF($C$5="CÔNG NGHỆ KỸ THUẬT NHIỆT", IFERROR(AVERAGEIFS(Data_Source!$DT$2:$DT$100, Data_Source!$AU$2:$AU$100, $C$5), ""), IF($C$5="KỸ THUẬT ĐIỀU KHIỂN VÀ TỰ ĐỘNG HÓA", IFERROR(AVERAGEIFS(Data_Source!$EG$2:$EG$100, Data_Source!$AU$2:$AU$100, $C$5), ""), IF($C$5="CÔNG NGHỆ KỸ THUẬT NĂNG LƯỢNG TÁI TẠO", IFERROR(AVERAGEIFS(Data_Source!$ET$2:$ET$100, Data_Source!$AU$2:$AU$100, $C$5), ""), ""))))))))</f>
        <v>3.5</v>
      </c>
    </row>
    <row r="26" spans="2:6" ht="16" x14ac:dyDescent="0.45">
      <c r="B26" s="9" t="s">
        <v>478</v>
      </c>
      <c r="C26" s="10">
        <f>IFERROR(AVERAGEIFS(Data_Source!$Z$2:$Z$100, Data_Source!$AU$2:$AU$100, $C$5), "")</f>
        <v>4.5</v>
      </c>
    </row>
    <row r="27" spans="2:6" ht="16" x14ac:dyDescent="0.45">
      <c r="B27" s="12" t="s">
        <v>479</v>
      </c>
      <c r="C27" s="13">
        <f>IFERROR(AVERAGEIFS(Data_Source!$AA$2:$AA$100, Data_Source!$AU$2:$AU$100, $C$5), "")</f>
        <v>4.5</v>
      </c>
    </row>
    <row r="28" spans="2:6" ht="16" x14ac:dyDescent="0.45">
      <c r="B28" s="15" t="s">
        <v>480</v>
      </c>
      <c r="C28" s="16">
        <f>AVERAGE(C14:C27)</f>
        <v>3.9642857142857144</v>
      </c>
    </row>
    <row r="30" spans="2:6" ht="17.5" x14ac:dyDescent="0.45">
      <c r="B30" s="6" t="s">
        <v>481</v>
      </c>
    </row>
    <row r="32" spans="2:6" ht="16" x14ac:dyDescent="0.45">
      <c r="B32" s="7" t="s">
        <v>482</v>
      </c>
      <c r="C32" s="8" t="s">
        <v>483</v>
      </c>
    </row>
    <row r="33" spans="2:5" ht="16" x14ac:dyDescent="0.45">
      <c r="B33" s="9" t="s">
        <v>204</v>
      </c>
      <c r="C33" s="17">
        <f>COUNTIFS(Data_Source!$AU$2:$AU$100, $C$5, Data_Source!$AL$2:$AL$100, "Từ 2 - 6 tháng")</f>
        <v>1</v>
      </c>
    </row>
    <row r="34" spans="2:5" ht="16" x14ac:dyDescent="0.45">
      <c r="B34" s="12" t="s">
        <v>172</v>
      </c>
      <c r="C34" s="18">
        <f>COUNTIFS(Data_Source!$AU$2:$AU$100, $C$5, Data_Source!$AL$2:$AL$100, "Từ 6 tháng - 1 năm")</f>
        <v>1</v>
      </c>
    </row>
    <row r="35" spans="2:5" ht="16" x14ac:dyDescent="0.45">
      <c r="B35" s="9" t="s">
        <v>235</v>
      </c>
      <c r="C35" s="17">
        <f>COUNTIFS(Data_Source!$AU$2:$AU$100, $C$5, Data_Source!$AL$2:$AL$100, "Dưới 2 tháng")</f>
        <v>0</v>
      </c>
    </row>
    <row r="36" spans="2:5" ht="16" x14ac:dyDescent="0.45">
      <c r="B36" s="12" t="s">
        <v>185</v>
      </c>
      <c r="C36" s="18">
        <f>COUNTIFS(Data_Source!$AU$2:$AU$100, $C$5, Data_Source!$AL$2:$AL$100, "Trên 1 năm")</f>
        <v>0</v>
      </c>
    </row>
    <row r="39" spans="2:5" ht="17.5" x14ac:dyDescent="0.45">
      <c r="B39" s="6" t="s">
        <v>484</v>
      </c>
    </row>
    <row r="41" spans="2:5" ht="24" customHeight="1" x14ac:dyDescent="0.35">
      <c r="B41" s="30" t="str">
        <f>IF(ISERROR(MATCH(1, Data_Source!$A$2:$A$100, 0)), "", "★ DOANH NGHIỆP #1: " &amp; IFERROR(VLOOKUP(1, Data_Source!$A$2:$FC$100, 3, FALSE) &amp; "", ""))</f>
        <v>★ DOANH NGHIỆP #1: Công ty TNHH Trang Thiết Bị Y Tế Phước Tiến</v>
      </c>
      <c r="C41" s="31"/>
      <c r="D41" s="31"/>
      <c r="E41" s="31"/>
    </row>
    <row r="42" spans="2:5" ht="20" customHeight="1" x14ac:dyDescent="0.35">
      <c r="B42" s="19" t="str">
        <f>IF($B$41="","", "Lĩnh vực hoạt động:")</f>
        <v>Lĩnh vực hoạt động:</v>
      </c>
      <c r="C42" s="19" t="str">
        <f>IFERROR(VLOOKUP(1, Data_Source!$A$2:$FC$100, 4, FALSE) &amp; "", "")</f>
        <v>mua bán Trang thiết bị y tế</v>
      </c>
      <c r="D42" s="19" t="str">
        <f>IF($B$41="","", "Đại diện liên hệ / Chức vụ:")</f>
        <v>Đại diện liên hệ / Chức vụ:</v>
      </c>
      <c r="E42" s="19" t="str">
        <f>IFERROR(VLOOKUP(1, Data_Source!$A$2:$FC$100, 8, FALSE) &amp; "", "")</f>
        <v>Trương Hải Văn; Giám đốc</v>
      </c>
    </row>
    <row r="43" spans="2:5" ht="20" customHeight="1" x14ac:dyDescent="0.35">
      <c r="B43" s="19" t="str">
        <f>IF($B$41="","", "Số lượng cựu SV làm việc:")</f>
        <v>Số lượng cựu SV làm việc:</v>
      </c>
      <c r="C43" s="20">
        <f>IFERROR(IF(VLOOKUP(1, Data_Source!$A$2:$FC$100, 12, FALSE)="","",VLOOKUP(1, Data_Source!$A$2:$FC$100, 12, FALSE)), "")</f>
        <v>2</v>
      </c>
      <c r="D43" s="19" t="str">
        <f>IF($B$41="","", "Đánh giá chất lượng chung:")</f>
        <v>Đánh giá chất lượng chung:</v>
      </c>
      <c r="E43" s="20" t="str">
        <f>IFERROR(VLOOKUP(1, Data_Source!$A$2:$FC$100, 39, FALSE) &amp; "", "")</f>
        <v>Khá</v>
      </c>
    </row>
    <row r="44" spans="2:5" ht="20" customHeight="1" x14ac:dyDescent="0.35">
      <c r="B44" s="30" t="str">
        <f>IF($B$41="","", "Nội dung góp ý cho chương trình đào tạo:")</f>
        <v>Nội dung góp ý cho chương trình đào tạo:</v>
      </c>
      <c r="C44" s="31"/>
      <c r="D44" s="31"/>
      <c r="E44" s="31"/>
    </row>
    <row r="45" spans="2:5" ht="50" customHeight="1" x14ac:dyDescent="0.35">
      <c r="B45" s="32" t="str">
        <f>IF($B$41="","", IFERROR(IF(OR(VLOOKUP(1,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None</v>
      </c>
      <c r="C45" s="31"/>
      <c r="D45" s="31"/>
      <c r="E45" s="31"/>
    </row>
    <row r="46" spans="2:5" ht="12" customHeight="1" x14ac:dyDescent="0.35"/>
    <row r="47" spans="2:5" ht="24" customHeight="1" x14ac:dyDescent="0.35">
      <c r="B47" s="30" t="str">
        <f>IF(ISERROR(MATCH(2, Data_Source!$A$2:$A$100, 0)), "", "★ DOANH NGHIỆP #2: " &amp; IFERROR(VLOOKUP(2, Data_Source!$A$2:$FC$100, 3, FALSE) &amp; "", ""))</f>
        <v>★ DOANH NGHIỆP #2: Công ty TNHH MikTek Việt Nam</v>
      </c>
      <c r="C47" s="31"/>
      <c r="D47" s="31"/>
      <c r="E47" s="31"/>
    </row>
    <row r="48" spans="2:5" ht="20" customHeight="1" x14ac:dyDescent="0.35">
      <c r="B48" s="19" t="str">
        <f>IF($B$47="","", "Lĩnh vực hoạt động:")</f>
        <v>Lĩnh vực hoạt động:</v>
      </c>
      <c r="C48" s="19" t="str">
        <f>IFERROR(VLOOKUP(2, Data_Source!$A$2:$FC$100, 4, FALSE) &amp; "", "")</f>
        <v>Hoạt động kiến trúc và tư vấn kỹ thuật có liên quan</v>
      </c>
      <c r="D48" s="19" t="str">
        <f>IF($B$47="","", "Đại diện liên hệ / Chức vụ:")</f>
        <v>Đại diện liên hệ / Chức vụ:</v>
      </c>
      <c r="E48" s="19" t="str">
        <f>IFERROR(VLOOKUP(2, Data_Source!$A$2:$FC$100, 8, FALSE) &amp; "", "")</f>
        <v>Trần Văn Hiệp; Nhân viên kỹ thuật</v>
      </c>
    </row>
    <row r="49" spans="2:5" ht="20" customHeight="1" x14ac:dyDescent="0.35">
      <c r="B49" s="19" t="str">
        <f>IF($B$47="","", "Số lượng cựu SV làm việc:")</f>
        <v>Số lượng cựu SV làm việc:</v>
      </c>
      <c r="C49" s="20" t="str">
        <f>IFERROR(IF(VLOOKUP(2, Data_Source!$A$2:$FC$100, 12, FALSE)="","",VLOOKUP(2, Data_Source!$A$2:$FC$100, 12, FALSE)), "")</f>
        <v/>
      </c>
      <c r="D49" s="19" t="str">
        <f>IF($B$47="","", "Đánh giá chất lượng chung:")</f>
        <v>Đánh giá chất lượng chung:</v>
      </c>
      <c r="E49" s="20" t="str">
        <f>IFERROR(VLOOKUP(2, Data_Source!$A$2:$FC$100, 39, FALSE) &amp; "", "")</f>
        <v>Khá</v>
      </c>
    </row>
    <row r="50" spans="2:5" ht="20" customHeight="1" x14ac:dyDescent="0.35">
      <c r="B50" s="30" t="str">
        <f>IF($B$47="","", "Nội dung góp ý cho chương trình đào tạo:")</f>
        <v>Nội dung góp ý cho chương trình đào tạo:</v>
      </c>
      <c r="C50" s="31"/>
      <c r="D50" s="31"/>
      <c r="E50" s="31"/>
    </row>
    <row r="51" spans="2:5" ht="50" customHeight="1" x14ac:dyDescent="0.35">
      <c r="B51" s="32" t="str">
        <f>IF($B$47="","", IFERROR(IF(OR(VLOOKUP(2,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None</v>
      </c>
      <c r="C51" s="31"/>
      <c r="D51" s="31"/>
      <c r="E51" s="31"/>
    </row>
    <row r="52" spans="2:5" ht="12" customHeight="1" x14ac:dyDescent="0.35"/>
    <row r="53" spans="2:5" ht="24" customHeight="1" x14ac:dyDescent="0.35">
      <c r="B53" s="30" t="str">
        <f>IF(ISERROR(MATCH(3, Data_Source!$A$2:$A$100, 0)), "", "★ DOANH NGHIỆP #3: " &amp; IFERROR(VLOOKUP(3, Data_Source!$A$2:$FC$100, 3, FALSE) &amp; "", ""))</f>
        <v/>
      </c>
      <c r="C53" s="31"/>
      <c r="D53" s="31"/>
      <c r="E53" s="31"/>
    </row>
    <row r="54" spans="2:5" ht="20" customHeight="1" x14ac:dyDescent="0.35">
      <c r="B54" s="19" t="str">
        <f>IF($B$53="","", "Lĩnh vực hoạt động:")</f>
        <v/>
      </c>
      <c r="C54" s="19" t="str">
        <f>IFERROR(VLOOKUP(3, Data_Source!$A$2:$FC$100, 4, FALSE) &amp; "", "")</f>
        <v/>
      </c>
      <c r="D54" s="19" t="str">
        <f>IF($B$53="","", "Đại diện liên hệ / Chức vụ:")</f>
        <v/>
      </c>
      <c r="E54" s="19" t="str">
        <f>IFERROR(VLOOKUP(3, Data_Source!$A$2:$FC$100, 8, FALSE) &amp; "", "")</f>
        <v/>
      </c>
    </row>
    <row r="55" spans="2:5" ht="20" customHeight="1" x14ac:dyDescent="0.35">
      <c r="B55" s="19" t="str">
        <f>IF($B$53="","", "Số lượng cựu SV làm việc:")</f>
        <v/>
      </c>
      <c r="C55" s="20" t="str">
        <f>IFERROR(IF(VLOOKUP(3, Data_Source!$A$2:$FC$100, 12, FALSE)="","",VLOOKUP(3, Data_Source!$A$2:$FC$100, 12, FALSE)), "")</f>
        <v/>
      </c>
      <c r="D55" s="19" t="str">
        <f>IF($B$53="","", "Đánh giá chất lượng chung:")</f>
        <v/>
      </c>
      <c r="E55" s="20" t="str">
        <f>IFERROR(VLOOKUP(3, Data_Source!$A$2:$FC$100, 39, FALSE) &amp; "", "")</f>
        <v/>
      </c>
    </row>
    <row r="56" spans="2:5" ht="20" customHeight="1" x14ac:dyDescent="0.35">
      <c r="B56" s="30" t="str">
        <f>IF($B$53="","", "Nội dung góp ý cho chương trình đào tạo:")</f>
        <v/>
      </c>
      <c r="C56" s="31"/>
      <c r="D56" s="31"/>
      <c r="E56" s="31"/>
    </row>
    <row r="57" spans="2:5" ht="50" customHeight="1" x14ac:dyDescent="0.35">
      <c r="B57" s="32" t="str">
        <f>IF($B$53="","", IFERROR(IF(OR(VLOOKUP(3,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57" s="31"/>
      <c r="D57" s="31"/>
      <c r="E57" s="31"/>
    </row>
    <row r="58" spans="2:5" ht="12" customHeight="1" x14ac:dyDescent="0.35"/>
    <row r="59" spans="2:5" ht="24" customHeight="1" x14ac:dyDescent="0.35">
      <c r="B59" s="30" t="str">
        <f>IF(ISERROR(MATCH(4, Data_Source!$A$2:$A$100, 0)), "", "★ DOANH NGHIỆP #4: " &amp; IFERROR(VLOOKUP(4, Data_Source!$A$2:$FC$100, 3, FALSE) &amp; "", ""))</f>
        <v/>
      </c>
      <c r="C59" s="31"/>
      <c r="D59" s="31"/>
      <c r="E59" s="31"/>
    </row>
    <row r="60" spans="2:5" ht="20" customHeight="1" x14ac:dyDescent="0.35">
      <c r="B60" s="19" t="str">
        <f>IF($B$59="","", "Lĩnh vực hoạt động:")</f>
        <v/>
      </c>
      <c r="C60" s="19" t="str">
        <f>IFERROR(VLOOKUP(4, Data_Source!$A$2:$FC$100, 4, FALSE) &amp; "", "")</f>
        <v/>
      </c>
      <c r="D60" s="19" t="str">
        <f>IF($B$59="","", "Đại diện liên hệ / Chức vụ:")</f>
        <v/>
      </c>
      <c r="E60" s="19" t="str">
        <f>IFERROR(VLOOKUP(4, Data_Source!$A$2:$FC$100, 8, FALSE) &amp; "", "")</f>
        <v/>
      </c>
    </row>
    <row r="61" spans="2:5" ht="20" customHeight="1" x14ac:dyDescent="0.35">
      <c r="B61" s="19" t="str">
        <f>IF($B$59="","", "Số lượng cựu SV làm việc:")</f>
        <v/>
      </c>
      <c r="C61" s="20" t="str">
        <f>IFERROR(IF(VLOOKUP(4, Data_Source!$A$2:$FC$100, 12, FALSE)="","",VLOOKUP(4, Data_Source!$A$2:$FC$100, 12, FALSE)), "")</f>
        <v/>
      </c>
      <c r="D61" s="19" t="str">
        <f>IF($B$59="","", "Đánh giá chất lượng chung:")</f>
        <v/>
      </c>
      <c r="E61" s="20" t="str">
        <f>IFERROR(VLOOKUP(4, Data_Source!$A$2:$FC$100, 39, FALSE) &amp; "", "")</f>
        <v/>
      </c>
    </row>
    <row r="62" spans="2:5" ht="20" customHeight="1" x14ac:dyDescent="0.35">
      <c r="B62" s="30" t="str">
        <f>IF($B$59="","", "Nội dung góp ý cho chương trình đào tạo:")</f>
        <v/>
      </c>
      <c r="C62" s="31"/>
      <c r="D62" s="31"/>
      <c r="E62" s="31"/>
    </row>
    <row r="63" spans="2:5" ht="50" customHeight="1" x14ac:dyDescent="0.35">
      <c r="B63" s="32" t="str">
        <f>IF($B$59="","", IFERROR(IF(OR(VLOOKUP(4,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63" s="31"/>
      <c r="D63" s="31"/>
      <c r="E63" s="31"/>
    </row>
    <row r="64" spans="2:5" ht="12" customHeight="1" x14ac:dyDescent="0.35"/>
    <row r="65" spans="2:5" ht="24" customHeight="1" x14ac:dyDescent="0.35">
      <c r="B65" s="30" t="str">
        <f>IF(ISERROR(MATCH(5, Data_Source!$A$2:$A$100, 0)), "", "★ DOANH NGHIỆP #5: " &amp; IFERROR(VLOOKUP(5, Data_Source!$A$2:$FC$100, 3, FALSE) &amp; "", ""))</f>
        <v/>
      </c>
      <c r="C65" s="31"/>
      <c r="D65" s="31"/>
      <c r="E65" s="31"/>
    </row>
    <row r="66" spans="2:5" ht="20" customHeight="1" x14ac:dyDescent="0.35">
      <c r="B66" s="19" t="str">
        <f>IF($B$65="","", "Lĩnh vực hoạt động:")</f>
        <v/>
      </c>
      <c r="C66" s="19" t="str">
        <f>IFERROR(VLOOKUP(5, Data_Source!$A$2:$FC$100, 4, FALSE) &amp; "", "")</f>
        <v/>
      </c>
      <c r="D66" s="19" t="str">
        <f>IF($B$65="","", "Đại diện liên hệ / Chức vụ:")</f>
        <v/>
      </c>
      <c r="E66" s="19" t="str">
        <f>IFERROR(VLOOKUP(5, Data_Source!$A$2:$FC$100, 8, FALSE) &amp; "", "")</f>
        <v/>
      </c>
    </row>
    <row r="67" spans="2:5" ht="20" customHeight="1" x14ac:dyDescent="0.35">
      <c r="B67" s="19" t="str">
        <f>IF($B$65="","", "Số lượng cựu SV làm việc:")</f>
        <v/>
      </c>
      <c r="C67" s="20" t="str">
        <f>IFERROR(IF(VLOOKUP(5, Data_Source!$A$2:$FC$100, 12, FALSE)="","",VLOOKUP(5, Data_Source!$A$2:$FC$100, 12, FALSE)), "")</f>
        <v/>
      </c>
      <c r="D67" s="19" t="str">
        <f>IF($B$65="","", "Đánh giá chất lượng chung:")</f>
        <v/>
      </c>
      <c r="E67" s="20" t="str">
        <f>IFERROR(VLOOKUP(5, Data_Source!$A$2:$FC$100, 39, FALSE) &amp; "", "")</f>
        <v/>
      </c>
    </row>
    <row r="68" spans="2:5" ht="20" customHeight="1" x14ac:dyDescent="0.35">
      <c r="B68" s="30" t="str">
        <f>IF($B$65="","", "Nội dung góp ý cho chương trình đào tạo:")</f>
        <v/>
      </c>
      <c r="C68" s="31"/>
      <c r="D68" s="31"/>
      <c r="E68" s="31"/>
    </row>
    <row r="69" spans="2:5" ht="50" customHeight="1" x14ac:dyDescent="0.35">
      <c r="B69" s="32" t="str">
        <f>IF($B$65="","", IFERROR(IF(OR(VLOOKUP(5,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69" s="31"/>
      <c r="D69" s="31"/>
      <c r="E69" s="31"/>
    </row>
    <row r="70" spans="2:5" ht="12" customHeight="1" x14ac:dyDescent="0.35"/>
    <row r="71" spans="2:5" ht="24" customHeight="1" x14ac:dyDescent="0.35">
      <c r="B71" s="30" t="str">
        <f>IF(ISERROR(MATCH(6, Data_Source!$A$2:$A$100, 0)), "", "★ DOANH NGHIỆP #6: " &amp; IFERROR(VLOOKUP(6, Data_Source!$A$2:$FC$100, 3, FALSE) &amp; "", ""))</f>
        <v/>
      </c>
      <c r="C71" s="31"/>
      <c r="D71" s="31"/>
      <c r="E71" s="31"/>
    </row>
    <row r="72" spans="2:5" ht="20" customHeight="1" x14ac:dyDescent="0.35">
      <c r="B72" s="19" t="str">
        <f>IF($B$71="","", "Lĩnh vực hoạt động:")</f>
        <v/>
      </c>
      <c r="C72" s="19" t="str">
        <f>IFERROR(VLOOKUP(6, Data_Source!$A$2:$FC$100, 4, FALSE) &amp; "", "")</f>
        <v/>
      </c>
      <c r="D72" s="19" t="str">
        <f>IF($B$71="","", "Đại diện liên hệ / Chức vụ:")</f>
        <v/>
      </c>
      <c r="E72" s="19" t="str">
        <f>IFERROR(VLOOKUP(6, Data_Source!$A$2:$FC$100, 8, FALSE) &amp; "", "")</f>
        <v/>
      </c>
    </row>
    <row r="73" spans="2:5" ht="20" customHeight="1" x14ac:dyDescent="0.35">
      <c r="B73" s="19" t="str">
        <f>IF($B$71="","", "Số lượng cựu SV làm việc:")</f>
        <v/>
      </c>
      <c r="C73" s="20" t="str">
        <f>IFERROR(IF(VLOOKUP(6, Data_Source!$A$2:$FC$100, 12, FALSE)="","",VLOOKUP(6, Data_Source!$A$2:$FC$100, 12, FALSE)), "")</f>
        <v/>
      </c>
      <c r="D73" s="19" t="str">
        <f>IF($B$71="","", "Đánh giá chất lượng chung:")</f>
        <v/>
      </c>
      <c r="E73" s="20" t="str">
        <f>IFERROR(VLOOKUP(6, Data_Source!$A$2:$FC$100, 39, FALSE) &amp; "", "")</f>
        <v/>
      </c>
    </row>
    <row r="74" spans="2:5" ht="20" customHeight="1" x14ac:dyDescent="0.35">
      <c r="B74" s="30" t="str">
        <f>IF($B$71="","", "Nội dung góp ý cho chương trình đào tạo:")</f>
        <v/>
      </c>
      <c r="C74" s="31"/>
      <c r="D74" s="31"/>
      <c r="E74" s="31"/>
    </row>
    <row r="75" spans="2:5" ht="50" customHeight="1" x14ac:dyDescent="0.35">
      <c r="B75" s="32" t="str">
        <f>IF($B$71="","", IFERROR(IF(OR(VLOOKUP(6,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75" s="31"/>
      <c r="D75" s="31"/>
      <c r="E75" s="31"/>
    </row>
    <row r="76" spans="2:5" ht="12" customHeight="1" x14ac:dyDescent="0.35"/>
    <row r="77" spans="2:5" ht="24" customHeight="1" x14ac:dyDescent="0.35">
      <c r="B77" s="30" t="str">
        <f>IF(ISERROR(MATCH(7, Data_Source!$A$2:$A$100, 0)), "", "★ DOANH NGHIỆP #7: " &amp; IFERROR(VLOOKUP(7, Data_Source!$A$2:$FC$100, 3, FALSE) &amp; "", ""))</f>
        <v/>
      </c>
      <c r="C77" s="31"/>
      <c r="D77" s="31"/>
      <c r="E77" s="31"/>
    </row>
    <row r="78" spans="2:5" ht="20" customHeight="1" x14ac:dyDescent="0.35">
      <c r="B78" s="19" t="str">
        <f>IF($B$77="","", "Lĩnh vực hoạt động:")</f>
        <v/>
      </c>
      <c r="C78" s="19" t="str">
        <f>IFERROR(VLOOKUP(7, Data_Source!$A$2:$FC$100, 4, FALSE) &amp; "", "")</f>
        <v/>
      </c>
      <c r="D78" s="19" t="str">
        <f>IF($B$77="","", "Đại diện liên hệ / Chức vụ:")</f>
        <v/>
      </c>
      <c r="E78" s="19" t="str">
        <f>IFERROR(VLOOKUP(7, Data_Source!$A$2:$FC$100, 8, FALSE) &amp; "", "")</f>
        <v/>
      </c>
    </row>
    <row r="79" spans="2:5" ht="20" customHeight="1" x14ac:dyDescent="0.35">
      <c r="B79" s="19" t="str">
        <f>IF($B$77="","", "Số lượng cựu SV làm việc:")</f>
        <v/>
      </c>
      <c r="C79" s="20" t="str">
        <f>IFERROR(IF(VLOOKUP(7, Data_Source!$A$2:$FC$100, 12, FALSE)="","",VLOOKUP(7, Data_Source!$A$2:$FC$100, 12, FALSE)), "")</f>
        <v/>
      </c>
      <c r="D79" s="19" t="str">
        <f>IF($B$77="","", "Đánh giá chất lượng chung:")</f>
        <v/>
      </c>
      <c r="E79" s="20" t="str">
        <f>IFERROR(VLOOKUP(7, Data_Source!$A$2:$FC$100, 39, FALSE) &amp; "", "")</f>
        <v/>
      </c>
    </row>
    <row r="80" spans="2:5" ht="20" customHeight="1" x14ac:dyDescent="0.35">
      <c r="B80" s="30" t="str">
        <f>IF($B$77="","", "Nội dung góp ý cho chương trình đào tạo:")</f>
        <v/>
      </c>
      <c r="C80" s="31"/>
      <c r="D80" s="31"/>
      <c r="E80" s="31"/>
    </row>
    <row r="81" spans="2:5" ht="50" customHeight="1" x14ac:dyDescent="0.35">
      <c r="B81" s="32" t="str">
        <f>IF($B$77="","", IFERROR(IF(OR(VLOOKUP(7,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81" s="31"/>
      <c r="D81" s="31"/>
      <c r="E81" s="31"/>
    </row>
    <row r="82" spans="2:5" ht="12" customHeight="1" x14ac:dyDescent="0.35"/>
    <row r="83" spans="2:5" ht="24" customHeight="1" x14ac:dyDescent="0.35">
      <c r="B83" s="30" t="str">
        <f>IF(ISERROR(MATCH(8, Data_Source!$A$2:$A$100, 0)), "", "★ DOANH NGHIỆP #8: " &amp; IFERROR(VLOOKUP(8, Data_Source!$A$2:$FC$100, 3, FALSE) &amp; "", ""))</f>
        <v/>
      </c>
      <c r="C83" s="31"/>
      <c r="D83" s="31"/>
      <c r="E83" s="31"/>
    </row>
    <row r="84" spans="2:5" ht="20" customHeight="1" x14ac:dyDescent="0.35">
      <c r="B84" s="19" t="str">
        <f>IF($B$83="","", "Lĩnh vực hoạt động:")</f>
        <v/>
      </c>
      <c r="C84" s="19" t="str">
        <f>IFERROR(VLOOKUP(8, Data_Source!$A$2:$FC$100, 4, FALSE) &amp; "", "")</f>
        <v/>
      </c>
      <c r="D84" s="19" t="str">
        <f>IF($B$83="","", "Đại diện liên hệ / Chức vụ:")</f>
        <v/>
      </c>
      <c r="E84" s="19" t="str">
        <f>IFERROR(VLOOKUP(8, Data_Source!$A$2:$FC$100, 8, FALSE) &amp; "", "")</f>
        <v/>
      </c>
    </row>
    <row r="85" spans="2:5" ht="20" customHeight="1" x14ac:dyDescent="0.35">
      <c r="B85" s="19" t="str">
        <f>IF($B$83="","", "Số lượng cựu SV làm việc:")</f>
        <v/>
      </c>
      <c r="C85" s="20" t="str">
        <f>IFERROR(IF(VLOOKUP(8, Data_Source!$A$2:$FC$100, 12, FALSE)="","",VLOOKUP(8, Data_Source!$A$2:$FC$100, 12, FALSE)), "")</f>
        <v/>
      </c>
      <c r="D85" s="19" t="str">
        <f>IF($B$83="","", "Đánh giá chất lượng chung:")</f>
        <v/>
      </c>
      <c r="E85" s="20" t="str">
        <f>IFERROR(VLOOKUP(8, Data_Source!$A$2:$FC$100, 39, FALSE) &amp; "", "")</f>
        <v/>
      </c>
    </row>
    <row r="86" spans="2:5" ht="20" customHeight="1" x14ac:dyDescent="0.35">
      <c r="B86" s="30" t="str">
        <f>IF($B$83="","", "Nội dung góp ý cho chương trình đào tạo:")</f>
        <v/>
      </c>
      <c r="C86" s="31"/>
      <c r="D86" s="31"/>
      <c r="E86" s="31"/>
    </row>
    <row r="87" spans="2:5" ht="50" customHeight="1" x14ac:dyDescent="0.35">
      <c r="B87" s="32" t="str">
        <f>IF($B$83="","", IFERROR(IF(OR(VLOOKUP(8,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87" s="31"/>
      <c r="D87" s="31"/>
      <c r="E87" s="31"/>
    </row>
    <row r="88" spans="2:5" ht="12" customHeight="1" x14ac:dyDescent="0.35"/>
    <row r="89" spans="2:5" ht="24" customHeight="1" x14ac:dyDescent="0.35">
      <c r="B89" s="30" t="str">
        <f>IF(ISERROR(MATCH(9, Data_Source!$A$2:$A$100, 0)), "", "★ DOANH NGHIỆP #9: " &amp; IFERROR(VLOOKUP(9, Data_Source!$A$2:$FC$100, 3, FALSE) &amp; "", ""))</f>
        <v/>
      </c>
      <c r="C89" s="31"/>
      <c r="D89" s="31"/>
      <c r="E89" s="31"/>
    </row>
    <row r="90" spans="2:5" ht="20" customHeight="1" x14ac:dyDescent="0.35">
      <c r="B90" s="19" t="str">
        <f>IF($B$89="","", "Lĩnh vực hoạt động:")</f>
        <v/>
      </c>
      <c r="C90" s="19" t="str">
        <f>IFERROR(VLOOKUP(9, Data_Source!$A$2:$FC$100, 4, FALSE) &amp; "", "")</f>
        <v/>
      </c>
      <c r="D90" s="19" t="str">
        <f>IF($B$89="","", "Đại diện liên hệ / Chức vụ:")</f>
        <v/>
      </c>
      <c r="E90" s="19" t="str">
        <f>IFERROR(VLOOKUP(9, Data_Source!$A$2:$FC$100, 8, FALSE) &amp; "", "")</f>
        <v/>
      </c>
    </row>
    <row r="91" spans="2:5" ht="20" customHeight="1" x14ac:dyDescent="0.35">
      <c r="B91" s="19" t="str">
        <f>IF($B$89="","", "Số lượng cựu SV làm việc:")</f>
        <v/>
      </c>
      <c r="C91" s="20" t="str">
        <f>IFERROR(IF(VLOOKUP(9, Data_Source!$A$2:$FC$100, 12, FALSE)="","",VLOOKUP(9, Data_Source!$A$2:$FC$100, 12, FALSE)), "")</f>
        <v/>
      </c>
      <c r="D91" s="19" t="str">
        <f>IF($B$89="","", "Đánh giá chất lượng chung:")</f>
        <v/>
      </c>
      <c r="E91" s="20" t="str">
        <f>IFERROR(VLOOKUP(9, Data_Source!$A$2:$FC$100, 39, FALSE) &amp; "", "")</f>
        <v/>
      </c>
    </row>
    <row r="92" spans="2:5" ht="20" customHeight="1" x14ac:dyDescent="0.35">
      <c r="B92" s="30" t="str">
        <f>IF($B$89="","", "Nội dung góp ý cho chương trình đào tạo:")</f>
        <v/>
      </c>
      <c r="C92" s="31"/>
      <c r="D92" s="31"/>
      <c r="E92" s="31"/>
    </row>
    <row r="93" spans="2:5" ht="50" customHeight="1" x14ac:dyDescent="0.35">
      <c r="B93" s="32" t="str">
        <f>IF($B$89="","", IFERROR(IF(OR(VLOOKUP(9,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93" s="31"/>
      <c r="D93" s="31"/>
      <c r="E93" s="31"/>
    </row>
    <row r="94" spans="2:5" ht="12" customHeight="1" x14ac:dyDescent="0.35"/>
    <row r="95" spans="2:5" ht="24" customHeight="1" x14ac:dyDescent="0.35">
      <c r="B95" s="30" t="str">
        <f>IF(ISERROR(MATCH(10, Data_Source!$A$2:$A$100, 0)), "", "★ DOANH NGHIỆP #10: " &amp; IFERROR(VLOOKUP(10, Data_Source!$A$2:$FC$100, 3, FALSE) &amp; "", ""))</f>
        <v/>
      </c>
      <c r="C95" s="31"/>
      <c r="D95" s="31"/>
      <c r="E95" s="31"/>
    </row>
    <row r="96" spans="2:5" ht="20" customHeight="1" x14ac:dyDescent="0.35">
      <c r="B96" s="19" t="str">
        <f>IF($B$95="","", "Lĩnh vực hoạt động:")</f>
        <v/>
      </c>
      <c r="C96" s="19" t="str">
        <f>IFERROR(VLOOKUP(10, Data_Source!$A$2:$FC$100, 4, FALSE) &amp; "", "")</f>
        <v/>
      </c>
      <c r="D96" s="19" t="str">
        <f>IF($B$95="","", "Đại diện liên hệ / Chức vụ:")</f>
        <v/>
      </c>
      <c r="E96" s="19" t="str">
        <f>IFERROR(VLOOKUP(10, Data_Source!$A$2:$FC$100, 8, FALSE) &amp; "", "")</f>
        <v/>
      </c>
    </row>
    <row r="97" spans="2:5" ht="20" customHeight="1" x14ac:dyDescent="0.35">
      <c r="B97" s="19" t="str">
        <f>IF($B$95="","", "Số lượng cựu SV làm việc:")</f>
        <v/>
      </c>
      <c r="C97" s="20" t="str">
        <f>IFERROR(IF(VLOOKUP(10, Data_Source!$A$2:$FC$100, 12, FALSE)="","",VLOOKUP(10, Data_Source!$A$2:$FC$100, 12, FALSE)), "")</f>
        <v/>
      </c>
      <c r="D97" s="19" t="str">
        <f>IF($B$95="","", "Đánh giá chất lượng chung:")</f>
        <v/>
      </c>
      <c r="E97" s="20" t="str">
        <f>IFERROR(VLOOKUP(10, Data_Source!$A$2:$FC$100, 39, FALSE) &amp; "", "")</f>
        <v/>
      </c>
    </row>
    <row r="98" spans="2:5" ht="20" customHeight="1" x14ac:dyDescent="0.35">
      <c r="B98" s="30" t="str">
        <f>IF($B$95="","", "Nội dung góp ý cho chương trình đào tạo:")</f>
        <v/>
      </c>
      <c r="C98" s="31"/>
      <c r="D98" s="31"/>
      <c r="E98" s="31"/>
    </row>
    <row r="99" spans="2:5" ht="50" customHeight="1" x14ac:dyDescent="0.35">
      <c r="B99" s="32" t="str">
        <f>IF($B$95="","", IFERROR(IF(OR(VLOOKUP(10,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99" s="31"/>
      <c r="D99" s="31"/>
      <c r="E99" s="31"/>
    </row>
    <row r="100" spans="2:5" ht="12" customHeight="1" x14ac:dyDescent="0.35"/>
    <row r="101" spans="2:5" ht="24" customHeight="1" x14ac:dyDescent="0.35">
      <c r="B101" s="30" t="str">
        <f>IF(ISERROR(MATCH(11, Data_Source!$A$2:$A$100, 0)), "", "★ DOANH NGHIỆP #11: " &amp; IFERROR(VLOOKUP(11, Data_Source!$A$2:$FC$100, 3, FALSE) &amp; "", ""))</f>
        <v/>
      </c>
      <c r="C101" s="31"/>
      <c r="D101" s="31"/>
      <c r="E101" s="31"/>
    </row>
    <row r="102" spans="2:5" ht="20" customHeight="1" x14ac:dyDescent="0.35">
      <c r="B102" s="19" t="str">
        <f>IF($B$101="","", "Lĩnh vực hoạt động:")</f>
        <v/>
      </c>
      <c r="C102" s="19" t="str">
        <f>IFERROR(VLOOKUP(11, Data_Source!$A$2:$FC$100, 4, FALSE) &amp; "", "")</f>
        <v/>
      </c>
      <c r="D102" s="19" t="str">
        <f>IF($B$101="","", "Đại diện liên hệ / Chức vụ:")</f>
        <v/>
      </c>
      <c r="E102" s="19" t="str">
        <f>IFERROR(VLOOKUP(11, Data_Source!$A$2:$FC$100, 8, FALSE) &amp; "", "")</f>
        <v/>
      </c>
    </row>
    <row r="103" spans="2:5" ht="20" customHeight="1" x14ac:dyDescent="0.35">
      <c r="B103" s="19" t="str">
        <f>IF($B$101="","", "Số lượng cựu SV làm việc:")</f>
        <v/>
      </c>
      <c r="C103" s="20" t="str">
        <f>IFERROR(IF(VLOOKUP(11, Data_Source!$A$2:$FC$100, 12, FALSE)="","",VLOOKUP(11, Data_Source!$A$2:$FC$100, 12, FALSE)), "")</f>
        <v/>
      </c>
      <c r="D103" s="19" t="str">
        <f>IF($B$101="","", "Đánh giá chất lượng chung:")</f>
        <v/>
      </c>
      <c r="E103" s="20" t="str">
        <f>IFERROR(VLOOKUP(11, Data_Source!$A$2:$FC$100, 39, FALSE) &amp; "", "")</f>
        <v/>
      </c>
    </row>
    <row r="104" spans="2:5" ht="20" customHeight="1" x14ac:dyDescent="0.35">
      <c r="B104" s="30" t="str">
        <f>IF($B$101="","", "Nội dung góp ý cho chương trình đào tạo:")</f>
        <v/>
      </c>
      <c r="C104" s="31"/>
      <c r="D104" s="31"/>
      <c r="E104" s="31"/>
    </row>
    <row r="105" spans="2:5" ht="50" customHeight="1" x14ac:dyDescent="0.35">
      <c r="B105" s="32" t="str">
        <f>IF($B$101="","", IFERROR(IF(OR(VLOOKUP(11,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05" s="31"/>
      <c r="D105" s="31"/>
      <c r="E105" s="31"/>
    </row>
    <row r="106" spans="2:5" ht="12" customHeight="1" x14ac:dyDescent="0.35"/>
    <row r="107" spans="2:5" ht="24" customHeight="1" x14ac:dyDescent="0.35">
      <c r="B107" s="30" t="str">
        <f>IF(ISERROR(MATCH(12, Data_Source!$A$2:$A$100, 0)), "", "★ DOANH NGHIỆP #12: " &amp; IFERROR(VLOOKUP(12, Data_Source!$A$2:$FC$100, 3, FALSE) &amp; "", ""))</f>
        <v/>
      </c>
      <c r="C107" s="31"/>
      <c r="D107" s="31"/>
      <c r="E107" s="31"/>
    </row>
    <row r="108" spans="2:5" ht="20" customHeight="1" x14ac:dyDescent="0.35">
      <c r="B108" s="19" t="str">
        <f>IF($B$107="","", "Lĩnh vực hoạt động:")</f>
        <v/>
      </c>
      <c r="C108" s="19" t="str">
        <f>IFERROR(VLOOKUP(12, Data_Source!$A$2:$FC$100, 4, FALSE) &amp; "", "")</f>
        <v/>
      </c>
      <c r="D108" s="19" t="str">
        <f>IF($B$107="","", "Đại diện liên hệ / Chức vụ:")</f>
        <v/>
      </c>
      <c r="E108" s="19" t="str">
        <f>IFERROR(VLOOKUP(12, Data_Source!$A$2:$FC$100, 8, FALSE) &amp; "", "")</f>
        <v/>
      </c>
    </row>
    <row r="109" spans="2:5" ht="20" customHeight="1" x14ac:dyDescent="0.35">
      <c r="B109" s="19" t="str">
        <f>IF($B$107="","", "Số lượng cựu SV làm việc:")</f>
        <v/>
      </c>
      <c r="C109" s="20" t="str">
        <f>IFERROR(IF(VLOOKUP(12, Data_Source!$A$2:$FC$100, 12, FALSE)="","",VLOOKUP(12, Data_Source!$A$2:$FC$100, 12, FALSE)), "")</f>
        <v/>
      </c>
      <c r="D109" s="19" t="str">
        <f>IF($B$107="","", "Đánh giá chất lượng chung:")</f>
        <v/>
      </c>
      <c r="E109" s="20" t="str">
        <f>IFERROR(VLOOKUP(12, Data_Source!$A$2:$FC$100, 39, FALSE) &amp; "", "")</f>
        <v/>
      </c>
    </row>
    <row r="110" spans="2:5" ht="20" customHeight="1" x14ac:dyDescent="0.35">
      <c r="B110" s="30" t="str">
        <f>IF($B$107="","", "Nội dung góp ý cho chương trình đào tạo:")</f>
        <v/>
      </c>
      <c r="C110" s="31"/>
      <c r="D110" s="31"/>
      <c r="E110" s="31"/>
    </row>
    <row r="111" spans="2:5" ht="50" customHeight="1" x14ac:dyDescent="0.35">
      <c r="B111" s="32" t="str">
        <f>IF($B$107="","", IFERROR(IF(OR(VLOOKUP(12,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11" s="31"/>
      <c r="D111" s="31"/>
      <c r="E111" s="31"/>
    </row>
    <row r="112" spans="2:5" ht="12" customHeight="1" x14ac:dyDescent="0.35"/>
    <row r="113" spans="2:5" ht="24" customHeight="1" x14ac:dyDescent="0.35">
      <c r="B113" s="30" t="str">
        <f>IF(ISERROR(MATCH(13, Data_Source!$A$2:$A$100, 0)), "", "★ DOANH NGHIỆP #13: " &amp; IFERROR(VLOOKUP(13, Data_Source!$A$2:$FC$100, 3, FALSE) &amp; "", ""))</f>
        <v/>
      </c>
      <c r="C113" s="31"/>
      <c r="D113" s="31"/>
      <c r="E113" s="31"/>
    </row>
    <row r="114" spans="2:5" ht="20" customHeight="1" x14ac:dyDescent="0.35">
      <c r="B114" s="19" t="str">
        <f>IF($B$113="","", "Lĩnh vực hoạt động:")</f>
        <v/>
      </c>
      <c r="C114" s="19" t="str">
        <f>IFERROR(VLOOKUP(13, Data_Source!$A$2:$FC$100, 4, FALSE) &amp; "", "")</f>
        <v/>
      </c>
      <c r="D114" s="19" t="str">
        <f>IF($B$113="","", "Đại diện liên hệ / Chức vụ:")</f>
        <v/>
      </c>
      <c r="E114" s="19" t="str">
        <f>IFERROR(VLOOKUP(13, Data_Source!$A$2:$FC$100, 8, FALSE) &amp; "", "")</f>
        <v/>
      </c>
    </row>
    <row r="115" spans="2:5" ht="20" customHeight="1" x14ac:dyDescent="0.35">
      <c r="B115" s="19" t="str">
        <f>IF($B$113="","", "Số lượng cựu SV làm việc:")</f>
        <v/>
      </c>
      <c r="C115" s="20" t="str">
        <f>IFERROR(IF(VLOOKUP(13, Data_Source!$A$2:$FC$100, 12, FALSE)="","",VLOOKUP(13, Data_Source!$A$2:$FC$100, 12, FALSE)), "")</f>
        <v/>
      </c>
      <c r="D115" s="19" t="str">
        <f>IF($B$113="","", "Đánh giá chất lượng chung:")</f>
        <v/>
      </c>
      <c r="E115" s="20" t="str">
        <f>IFERROR(VLOOKUP(13, Data_Source!$A$2:$FC$100, 39, FALSE) &amp; "", "")</f>
        <v/>
      </c>
    </row>
    <row r="116" spans="2:5" ht="20" customHeight="1" x14ac:dyDescent="0.35">
      <c r="B116" s="30" t="str">
        <f>IF($B$113="","", "Nội dung góp ý cho chương trình đào tạo:")</f>
        <v/>
      </c>
      <c r="C116" s="31"/>
      <c r="D116" s="31"/>
      <c r="E116" s="31"/>
    </row>
    <row r="117" spans="2:5" ht="50" customHeight="1" x14ac:dyDescent="0.35">
      <c r="B117" s="32" t="str">
        <f>IF($B$113="","", IFERROR(IF(OR(VLOOKUP(13,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17" s="31"/>
      <c r="D117" s="31"/>
      <c r="E117" s="31"/>
    </row>
    <row r="118" spans="2:5" ht="12" customHeight="1" x14ac:dyDescent="0.35"/>
    <row r="119" spans="2:5" ht="24" customHeight="1" x14ac:dyDescent="0.35">
      <c r="B119" s="30" t="str">
        <f>IF(ISERROR(MATCH(14, Data_Source!$A$2:$A$100, 0)), "", "★ DOANH NGHIỆP #14: " &amp; IFERROR(VLOOKUP(14, Data_Source!$A$2:$FC$100, 3, FALSE) &amp; "", ""))</f>
        <v/>
      </c>
      <c r="C119" s="31"/>
      <c r="D119" s="31"/>
      <c r="E119" s="31"/>
    </row>
    <row r="120" spans="2:5" ht="20" customHeight="1" x14ac:dyDescent="0.35">
      <c r="B120" s="19" t="str">
        <f>IF($B$119="","", "Lĩnh vực hoạt động:")</f>
        <v/>
      </c>
      <c r="C120" s="19" t="str">
        <f>IFERROR(VLOOKUP(14, Data_Source!$A$2:$FC$100, 4, FALSE) &amp; "", "")</f>
        <v/>
      </c>
      <c r="D120" s="19" t="str">
        <f>IF($B$119="","", "Đại diện liên hệ / Chức vụ:")</f>
        <v/>
      </c>
      <c r="E120" s="19" t="str">
        <f>IFERROR(VLOOKUP(14, Data_Source!$A$2:$FC$100, 8, FALSE) &amp; "", "")</f>
        <v/>
      </c>
    </row>
    <row r="121" spans="2:5" ht="20" customHeight="1" x14ac:dyDescent="0.35">
      <c r="B121" s="19" t="str">
        <f>IF($B$119="","", "Số lượng cựu SV làm việc:")</f>
        <v/>
      </c>
      <c r="C121" s="20" t="str">
        <f>IFERROR(IF(VLOOKUP(14, Data_Source!$A$2:$FC$100, 12, FALSE)="","",VLOOKUP(14, Data_Source!$A$2:$FC$100, 12, FALSE)), "")</f>
        <v/>
      </c>
      <c r="D121" s="19" t="str">
        <f>IF($B$119="","", "Đánh giá chất lượng chung:")</f>
        <v/>
      </c>
      <c r="E121" s="20" t="str">
        <f>IFERROR(VLOOKUP(14, Data_Source!$A$2:$FC$100, 39, FALSE) &amp; "", "")</f>
        <v/>
      </c>
    </row>
    <row r="122" spans="2:5" ht="20" customHeight="1" x14ac:dyDescent="0.35">
      <c r="B122" s="30" t="str">
        <f>IF($B$119="","", "Nội dung góp ý cho chương trình đào tạo:")</f>
        <v/>
      </c>
      <c r="C122" s="31"/>
      <c r="D122" s="31"/>
      <c r="E122" s="31"/>
    </row>
    <row r="123" spans="2:5" ht="50" customHeight="1" x14ac:dyDescent="0.35">
      <c r="B123" s="32" t="str">
        <f>IF($B$119="","", IFERROR(IF(OR(VLOOKUP(14,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23" s="31"/>
      <c r="D123" s="31"/>
      <c r="E123" s="31"/>
    </row>
    <row r="124" spans="2:5" ht="12" customHeight="1" x14ac:dyDescent="0.35"/>
    <row r="125" spans="2:5" ht="24" customHeight="1" x14ac:dyDescent="0.35">
      <c r="B125" s="30" t="str">
        <f>IF(ISERROR(MATCH(15, Data_Source!$A$2:$A$100, 0)), "", "★ DOANH NGHIỆP #15: " &amp; IFERROR(VLOOKUP(15, Data_Source!$A$2:$FC$100, 3, FALSE) &amp; "", ""))</f>
        <v/>
      </c>
      <c r="C125" s="31"/>
      <c r="D125" s="31"/>
      <c r="E125" s="31"/>
    </row>
    <row r="126" spans="2:5" ht="20" customHeight="1" x14ac:dyDescent="0.35">
      <c r="B126" s="19" t="str">
        <f>IF($B$125="","", "Lĩnh vực hoạt động:")</f>
        <v/>
      </c>
      <c r="C126" s="19" t="str">
        <f>IFERROR(VLOOKUP(15, Data_Source!$A$2:$FC$100, 4, FALSE) &amp; "", "")</f>
        <v/>
      </c>
      <c r="D126" s="19" t="str">
        <f>IF($B$125="","", "Đại diện liên hệ / Chức vụ:")</f>
        <v/>
      </c>
      <c r="E126" s="19" t="str">
        <f>IFERROR(VLOOKUP(15, Data_Source!$A$2:$FC$100, 8, FALSE) &amp; "", "")</f>
        <v/>
      </c>
    </row>
    <row r="127" spans="2:5" ht="20" customHeight="1" x14ac:dyDescent="0.35">
      <c r="B127" s="19" t="str">
        <f>IF($B$125="","", "Số lượng cựu SV làm việc:")</f>
        <v/>
      </c>
      <c r="C127" s="20" t="str">
        <f>IFERROR(IF(VLOOKUP(15, Data_Source!$A$2:$FC$100, 12, FALSE)="","",VLOOKUP(15, Data_Source!$A$2:$FC$100, 12, FALSE)), "")</f>
        <v/>
      </c>
      <c r="D127" s="19" t="str">
        <f>IF($B$125="","", "Đánh giá chất lượng chung:")</f>
        <v/>
      </c>
      <c r="E127" s="20" t="str">
        <f>IFERROR(VLOOKUP(15, Data_Source!$A$2:$FC$100, 39, FALSE) &amp; "", "")</f>
        <v/>
      </c>
    </row>
    <row r="128" spans="2:5" ht="20" customHeight="1" x14ac:dyDescent="0.35">
      <c r="B128" s="30" t="str">
        <f>IF($B$125="","", "Nội dung góp ý cho chương trình đào tạo:")</f>
        <v/>
      </c>
      <c r="C128" s="31"/>
      <c r="D128" s="31"/>
      <c r="E128" s="31"/>
    </row>
    <row r="129" spans="2:5" ht="50" customHeight="1" x14ac:dyDescent="0.35">
      <c r="B129" s="32" t="str">
        <f>IF($B$125="","", IFERROR(IF(OR(VLOOKUP(15,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29" s="31"/>
      <c r="D129" s="31"/>
      <c r="E129" s="31"/>
    </row>
    <row r="130" spans="2:5" ht="12" customHeight="1" x14ac:dyDescent="0.35"/>
    <row r="131" spans="2:5" ht="24" customHeight="1" x14ac:dyDescent="0.35">
      <c r="B131" s="30" t="str">
        <f>IF(ISERROR(MATCH(16, Data_Source!$A$2:$A$100, 0)), "", "★ DOANH NGHIỆP #16: " &amp; IFERROR(VLOOKUP(16, Data_Source!$A$2:$FC$100, 3, FALSE) &amp; "", ""))</f>
        <v/>
      </c>
      <c r="C131" s="31"/>
      <c r="D131" s="31"/>
      <c r="E131" s="31"/>
    </row>
    <row r="132" spans="2:5" ht="20" customHeight="1" x14ac:dyDescent="0.35">
      <c r="B132" s="19" t="str">
        <f>IF($B$131="","", "Lĩnh vực hoạt động:")</f>
        <v/>
      </c>
      <c r="C132" s="19" t="str">
        <f>IFERROR(VLOOKUP(16, Data_Source!$A$2:$FC$100, 4, FALSE) &amp; "", "")</f>
        <v/>
      </c>
      <c r="D132" s="19" t="str">
        <f>IF($B$131="","", "Đại diện liên hệ / Chức vụ:")</f>
        <v/>
      </c>
      <c r="E132" s="19" t="str">
        <f>IFERROR(VLOOKUP(16, Data_Source!$A$2:$FC$100, 8, FALSE) &amp; "", "")</f>
        <v/>
      </c>
    </row>
    <row r="133" spans="2:5" ht="20" customHeight="1" x14ac:dyDescent="0.35">
      <c r="B133" s="19" t="str">
        <f>IF($B$131="","", "Số lượng cựu SV làm việc:")</f>
        <v/>
      </c>
      <c r="C133" s="20" t="str">
        <f>IFERROR(IF(VLOOKUP(16, Data_Source!$A$2:$FC$100, 12, FALSE)="","",VLOOKUP(16, Data_Source!$A$2:$FC$100, 12, FALSE)), "")</f>
        <v/>
      </c>
      <c r="D133" s="19" t="str">
        <f>IF($B$131="","", "Đánh giá chất lượng chung:")</f>
        <v/>
      </c>
      <c r="E133" s="20" t="str">
        <f>IFERROR(VLOOKUP(16, Data_Source!$A$2:$FC$100, 39, FALSE) &amp; "", "")</f>
        <v/>
      </c>
    </row>
    <row r="134" spans="2:5" ht="20" customHeight="1" x14ac:dyDescent="0.35">
      <c r="B134" s="30" t="str">
        <f>IF($B$131="","", "Nội dung góp ý cho chương trình đào tạo:")</f>
        <v/>
      </c>
      <c r="C134" s="31"/>
      <c r="D134" s="31"/>
      <c r="E134" s="31"/>
    </row>
    <row r="135" spans="2:5" ht="50" customHeight="1" x14ac:dyDescent="0.35">
      <c r="B135" s="32" t="str">
        <f>IF($B$131="","", IFERROR(IF(OR(VLOOKUP(16,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35" s="31"/>
      <c r="D135" s="31"/>
      <c r="E135" s="31"/>
    </row>
    <row r="136" spans="2:5" ht="12" customHeight="1" x14ac:dyDescent="0.35"/>
    <row r="137" spans="2:5" ht="24" customHeight="1" x14ac:dyDescent="0.35">
      <c r="B137" s="30" t="str">
        <f>IF(ISERROR(MATCH(17, Data_Source!$A$2:$A$100, 0)), "", "★ DOANH NGHIỆP #17: " &amp; IFERROR(VLOOKUP(17, Data_Source!$A$2:$FC$100, 3, FALSE) &amp; "", ""))</f>
        <v/>
      </c>
      <c r="C137" s="31"/>
      <c r="D137" s="31"/>
      <c r="E137" s="31"/>
    </row>
    <row r="138" spans="2:5" ht="20" customHeight="1" x14ac:dyDescent="0.35">
      <c r="B138" s="19" t="str">
        <f>IF($B$137="","", "Lĩnh vực hoạt động:")</f>
        <v/>
      </c>
      <c r="C138" s="19" t="str">
        <f>IFERROR(VLOOKUP(17, Data_Source!$A$2:$FC$100, 4, FALSE) &amp; "", "")</f>
        <v/>
      </c>
      <c r="D138" s="19" t="str">
        <f>IF($B$137="","", "Đại diện liên hệ / Chức vụ:")</f>
        <v/>
      </c>
      <c r="E138" s="19" t="str">
        <f>IFERROR(VLOOKUP(17, Data_Source!$A$2:$FC$100, 8, FALSE) &amp; "", "")</f>
        <v/>
      </c>
    </row>
    <row r="139" spans="2:5" ht="20" customHeight="1" x14ac:dyDescent="0.35">
      <c r="B139" s="19" t="str">
        <f>IF($B$137="","", "Số lượng cựu SV làm việc:")</f>
        <v/>
      </c>
      <c r="C139" s="20" t="str">
        <f>IFERROR(IF(VLOOKUP(17, Data_Source!$A$2:$FC$100, 12, FALSE)="","",VLOOKUP(17, Data_Source!$A$2:$FC$100, 12, FALSE)), "")</f>
        <v/>
      </c>
      <c r="D139" s="19" t="str">
        <f>IF($B$137="","", "Đánh giá chất lượng chung:")</f>
        <v/>
      </c>
      <c r="E139" s="20" t="str">
        <f>IFERROR(VLOOKUP(17, Data_Source!$A$2:$FC$100, 39, FALSE) &amp; "", "")</f>
        <v/>
      </c>
    </row>
    <row r="140" spans="2:5" ht="20" customHeight="1" x14ac:dyDescent="0.35">
      <c r="B140" s="30" t="str">
        <f>IF($B$137="","", "Nội dung góp ý cho chương trình đào tạo:")</f>
        <v/>
      </c>
      <c r="C140" s="31"/>
      <c r="D140" s="31"/>
      <c r="E140" s="31"/>
    </row>
    <row r="141" spans="2:5" ht="50" customHeight="1" x14ac:dyDescent="0.35">
      <c r="B141" s="32" t="str">
        <f>IF($B$137="","", IFERROR(IF(OR(VLOOKUP(17,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41" s="31"/>
      <c r="D141" s="31"/>
      <c r="E141" s="31"/>
    </row>
    <row r="142" spans="2:5" ht="12" customHeight="1" x14ac:dyDescent="0.35"/>
    <row r="143" spans="2:5" ht="24" customHeight="1" x14ac:dyDescent="0.35">
      <c r="B143" s="30" t="str">
        <f>IF(ISERROR(MATCH(18, Data_Source!$A$2:$A$100, 0)), "", "★ DOANH NGHIỆP #18: " &amp; IFERROR(VLOOKUP(18, Data_Source!$A$2:$FC$100, 3, FALSE) &amp; "", ""))</f>
        <v/>
      </c>
      <c r="C143" s="31"/>
      <c r="D143" s="31"/>
      <c r="E143" s="31"/>
    </row>
    <row r="144" spans="2:5" ht="20" customHeight="1" x14ac:dyDescent="0.35">
      <c r="B144" s="19" t="str">
        <f>IF($B$143="","", "Lĩnh vực hoạt động:")</f>
        <v/>
      </c>
      <c r="C144" s="19" t="str">
        <f>IFERROR(VLOOKUP(18, Data_Source!$A$2:$FC$100, 4, FALSE) &amp; "", "")</f>
        <v/>
      </c>
      <c r="D144" s="19" t="str">
        <f>IF($B$143="","", "Đại diện liên hệ / Chức vụ:")</f>
        <v/>
      </c>
      <c r="E144" s="19" t="str">
        <f>IFERROR(VLOOKUP(18, Data_Source!$A$2:$FC$100, 8, FALSE) &amp; "", "")</f>
        <v/>
      </c>
    </row>
    <row r="145" spans="2:5" ht="20" customHeight="1" x14ac:dyDescent="0.35">
      <c r="B145" s="19" t="str">
        <f>IF($B$143="","", "Số lượng cựu SV làm việc:")</f>
        <v/>
      </c>
      <c r="C145" s="20" t="str">
        <f>IFERROR(IF(VLOOKUP(18, Data_Source!$A$2:$FC$100, 12, FALSE)="","",VLOOKUP(18, Data_Source!$A$2:$FC$100, 12, FALSE)), "")</f>
        <v/>
      </c>
      <c r="D145" s="19" t="str">
        <f>IF($B$143="","", "Đánh giá chất lượng chung:")</f>
        <v/>
      </c>
      <c r="E145" s="20" t="str">
        <f>IFERROR(VLOOKUP(18, Data_Source!$A$2:$FC$100, 39, FALSE) &amp; "", "")</f>
        <v/>
      </c>
    </row>
    <row r="146" spans="2:5" ht="20" customHeight="1" x14ac:dyDescent="0.35">
      <c r="B146" s="30" t="str">
        <f>IF($B$143="","", "Nội dung góp ý cho chương trình đào tạo:")</f>
        <v/>
      </c>
      <c r="C146" s="31"/>
      <c r="D146" s="31"/>
      <c r="E146" s="31"/>
    </row>
    <row r="147" spans="2:5" ht="50" customHeight="1" x14ac:dyDescent="0.35">
      <c r="B147" s="32" t="str">
        <f>IF($B$143="","", IFERROR(IF(OR(VLOOKUP(18,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47" s="31"/>
      <c r="D147" s="31"/>
      <c r="E147" s="31"/>
    </row>
    <row r="148" spans="2:5" ht="12" customHeight="1" x14ac:dyDescent="0.35"/>
    <row r="149" spans="2:5" ht="24" customHeight="1" x14ac:dyDescent="0.35">
      <c r="B149" s="30" t="str">
        <f>IF(ISERROR(MATCH(19, Data_Source!$A$2:$A$100, 0)), "", "★ DOANH NGHIỆP #19: " &amp; IFERROR(VLOOKUP(19, Data_Source!$A$2:$FC$100, 3, FALSE) &amp; "", ""))</f>
        <v/>
      </c>
      <c r="C149" s="31"/>
      <c r="D149" s="31"/>
      <c r="E149" s="31"/>
    </row>
    <row r="150" spans="2:5" ht="20" customHeight="1" x14ac:dyDescent="0.35">
      <c r="B150" s="19" t="str">
        <f>IF($B$149="","", "Lĩnh vực hoạt động:")</f>
        <v/>
      </c>
      <c r="C150" s="19" t="str">
        <f>IFERROR(VLOOKUP(19, Data_Source!$A$2:$FC$100, 4, FALSE) &amp; "", "")</f>
        <v/>
      </c>
      <c r="D150" s="19" t="str">
        <f>IF($B$149="","", "Đại diện liên hệ / Chức vụ:")</f>
        <v/>
      </c>
      <c r="E150" s="19" t="str">
        <f>IFERROR(VLOOKUP(19, Data_Source!$A$2:$FC$100, 8, FALSE) &amp; "", "")</f>
        <v/>
      </c>
    </row>
    <row r="151" spans="2:5" ht="20" customHeight="1" x14ac:dyDescent="0.35">
      <c r="B151" s="19" t="str">
        <f>IF($B$149="","", "Số lượng cựu SV làm việc:")</f>
        <v/>
      </c>
      <c r="C151" s="20" t="str">
        <f>IFERROR(IF(VLOOKUP(19, Data_Source!$A$2:$FC$100, 12, FALSE)="","",VLOOKUP(19, Data_Source!$A$2:$FC$100, 12, FALSE)), "")</f>
        <v/>
      </c>
      <c r="D151" s="19" t="str">
        <f>IF($B$149="","", "Đánh giá chất lượng chung:")</f>
        <v/>
      </c>
      <c r="E151" s="20" t="str">
        <f>IFERROR(VLOOKUP(19, Data_Source!$A$2:$FC$100, 39, FALSE) &amp; "", "")</f>
        <v/>
      </c>
    </row>
    <row r="152" spans="2:5" ht="20" customHeight="1" x14ac:dyDescent="0.35">
      <c r="B152" s="30" t="str">
        <f>IF($B$149="","", "Nội dung góp ý cho chương trình đào tạo:")</f>
        <v/>
      </c>
      <c r="C152" s="31"/>
      <c r="D152" s="31"/>
      <c r="E152" s="31"/>
    </row>
    <row r="153" spans="2:5" ht="50" customHeight="1" x14ac:dyDescent="0.35">
      <c r="B153" s="32" t="str">
        <f>IF($B$149="","", IFERROR(IF(OR(VLOOKUP(19,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VLOOKUP(19,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VLOOKUP(19,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53" s="31"/>
      <c r="D153" s="31"/>
      <c r="E153" s="31"/>
    </row>
    <row r="154" spans="2:5" ht="12" customHeight="1" x14ac:dyDescent="0.35"/>
    <row r="155" spans="2:5" ht="24" customHeight="1" x14ac:dyDescent="0.35">
      <c r="B155" s="30" t="str">
        <f>IF(ISERROR(MATCH(20, Data_Source!$A$2:$A$100, 0)), "", "★ DOANH NGHIỆP #20: " &amp; IFERROR(VLOOKUP(20, Data_Source!$A$2:$FC$100, 3, FALSE) &amp; "", ""))</f>
        <v/>
      </c>
      <c r="C155" s="31"/>
      <c r="D155" s="31"/>
      <c r="E155" s="31"/>
    </row>
    <row r="156" spans="2:5" ht="20" customHeight="1" x14ac:dyDescent="0.35">
      <c r="B156" s="19" t="str">
        <f>IF($B$155="","", "Lĩnh vực hoạt động:")</f>
        <v/>
      </c>
      <c r="C156" s="19" t="str">
        <f>IFERROR(VLOOKUP(20, Data_Source!$A$2:$FC$100, 4, FALSE) &amp; "", "")</f>
        <v/>
      </c>
      <c r="D156" s="19" t="str">
        <f>IF($B$155="","", "Đại diện liên hệ / Chức vụ:")</f>
        <v/>
      </c>
      <c r="E156" s="19" t="str">
        <f>IFERROR(VLOOKUP(20, Data_Source!$A$2:$FC$100, 8, FALSE) &amp; "", "")</f>
        <v/>
      </c>
    </row>
    <row r="157" spans="2:5" ht="20" customHeight="1" x14ac:dyDescent="0.35">
      <c r="B157" s="19" t="str">
        <f>IF($B$155="","", "Số lượng cựu SV làm việc:")</f>
        <v/>
      </c>
      <c r="C157" s="20" t="str">
        <f>IFERROR(IF(VLOOKUP(20, Data_Source!$A$2:$FC$100, 12, FALSE)="","",VLOOKUP(20, Data_Source!$A$2:$FC$100, 12, FALSE)), "")</f>
        <v/>
      </c>
      <c r="D157" s="19" t="str">
        <f>IF($B$155="","", "Đánh giá chất lượng chung:")</f>
        <v/>
      </c>
      <c r="E157" s="20" t="str">
        <f>IFERROR(VLOOKUP(20, Data_Source!$A$2:$FC$100, 39, FALSE) &amp; "", "")</f>
        <v/>
      </c>
    </row>
    <row r="158" spans="2:5" ht="20" customHeight="1" x14ac:dyDescent="0.35">
      <c r="B158" s="30" t="str">
        <f>IF($B$155="","", "Nội dung góp ý cho chương trình đào tạo:")</f>
        <v/>
      </c>
      <c r="C158" s="31"/>
      <c r="D158" s="31"/>
      <c r="E158" s="31"/>
    </row>
    <row r="159" spans="2:5" ht="50" customHeight="1" x14ac:dyDescent="0.35">
      <c r="B159" s="32" t="str">
        <f>IF($B$155="","", IFERROR(IF(OR(VLOOKUP(20,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59" s="31"/>
      <c r="D159" s="31"/>
      <c r="E159" s="31"/>
    </row>
    <row r="160" spans="2:5" ht="12" customHeight="1" x14ac:dyDescent="0.35"/>
    <row r="161" spans="2:5" ht="24" customHeight="1" x14ac:dyDescent="0.35">
      <c r="B161" s="30" t="str">
        <f>IF(ISERROR(MATCH(21, Data_Source!$A$2:$A$100, 0)), "", "★ DOANH NGHIỆP #21: " &amp; IFERROR(VLOOKUP(21, Data_Source!$A$2:$FC$100, 3, FALSE) &amp; "", ""))</f>
        <v/>
      </c>
      <c r="C161" s="31"/>
      <c r="D161" s="31"/>
      <c r="E161" s="31"/>
    </row>
    <row r="162" spans="2:5" ht="20" customHeight="1" x14ac:dyDescent="0.35">
      <c r="B162" s="19" t="str">
        <f>IF($B$161="","", "Lĩnh vực hoạt động:")</f>
        <v/>
      </c>
      <c r="C162" s="19" t="str">
        <f>IFERROR(VLOOKUP(21, Data_Source!$A$2:$FC$100, 4, FALSE) &amp; "", "")</f>
        <v/>
      </c>
      <c r="D162" s="19" t="str">
        <f>IF($B$161="","", "Đại diện liên hệ / Chức vụ:")</f>
        <v/>
      </c>
      <c r="E162" s="19" t="str">
        <f>IFERROR(VLOOKUP(21, Data_Source!$A$2:$FC$100, 8, FALSE) &amp; "", "")</f>
        <v/>
      </c>
    </row>
    <row r="163" spans="2:5" ht="20" customHeight="1" x14ac:dyDescent="0.35">
      <c r="B163" s="19" t="str">
        <f>IF($B$161="","", "Số lượng cựu SV làm việc:")</f>
        <v/>
      </c>
      <c r="C163" s="20" t="str">
        <f>IFERROR(IF(VLOOKUP(21, Data_Source!$A$2:$FC$100, 12, FALSE)="","",VLOOKUP(21, Data_Source!$A$2:$FC$100, 12, FALSE)), "")</f>
        <v/>
      </c>
      <c r="D163" s="19" t="str">
        <f>IF($B$161="","", "Đánh giá chất lượng chung:")</f>
        <v/>
      </c>
      <c r="E163" s="20" t="str">
        <f>IFERROR(VLOOKUP(21, Data_Source!$A$2:$FC$100, 39, FALSE) &amp; "", "")</f>
        <v/>
      </c>
    </row>
    <row r="164" spans="2:5" ht="20" customHeight="1" x14ac:dyDescent="0.35">
      <c r="B164" s="30" t="str">
        <f>IF($B$161="","", "Nội dung góp ý cho chương trình đào tạo:")</f>
        <v/>
      </c>
      <c r="C164" s="31"/>
      <c r="D164" s="31"/>
      <c r="E164" s="31"/>
    </row>
    <row r="165" spans="2:5" ht="50" customHeight="1" x14ac:dyDescent="0.35">
      <c r="B165" s="32" t="str">
        <f>IF($B$161="","", IFERROR(IF(OR(VLOOKUP(21,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65" s="31"/>
      <c r="D165" s="31"/>
      <c r="E165" s="31"/>
    </row>
    <row r="166" spans="2:5" ht="12" customHeight="1" x14ac:dyDescent="0.35"/>
    <row r="167" spans="2:5" ht="24" customHeight="1" x14ac:dyDescent="0.35">
      <c r="B167" s="30" t="str">
        <f>IF(ISERROR(MATCH(22, Data_Source!$A$2:$A$100, 0)), "", "★ DOANH NGHIỆP #22: " &amp; IFERROR(VLOOKUP(22, Data_Source!$A$2:$FC$100, 3, FALSE) &amp; "", ""))</f>
        <v/>
      </c>
      <c r="C167" s="31"/>
      <c r="D167" s="31"/>
      <c r="E167" s="31"/>
    </row>
    <row r="168" spans="2:5" ht="20" customHeight="1" x14ac:dyDescent="0.35">
      <c r="B168" s="19" t="str">
        <f>IF($B$167="","", "Lĩnh vực hoạt động:")</f>
        <v/>
      </c>
      <c r="C168" s="19" t="str">
        <f>IFERROR(VLOOKUP(22, Data_Source!$A$2:$FC$100, 4, FALSE) &amp; "", "")</f>
        <v/>
      </c>
      <c r="D168" s="19" t="str">
        <f>IF($B$167="","", "Đại diện liên hệ / Chức vụ:")</f>
        <v/>
      </c>
      <c r="E168" s="19" t="str">
        <f>IFERROR(VLOOKUP(22, Data_Source!$A$2:$FC$100, 8, FALSE) &amp; "", "")</f>
        <v/>
      </c>
    </row>
    <row r="169" spans="2:5" ht="20" customHeight="1" x14ac:dyDescent="0.35">
      <c r="B169" s="19" t="str">
        <f>IF($B$167="","", "Số lượng cựu SV làm việc:")</f>
        <v/>
      </c>
      <c r="C169" s="20" t="str">
        <f>IFERROR(IF(VLOOKUP(22, Data_Source!$A$2:$FC$100, 12, FALSE)="","",VLOOKUP(22, Data_Source!$A$2:$FC$100, 12, FALSE)), "")</f>
        <v/>
      </c>
      <c r="D169" s="19" t="str">
        <f>IF($B$167="","", "Đánh giá chất lượng chung:")</f>
        <v/>
      </c>
      <c r="E169" s="20" t="str">
        <f>IFERROR(VLOOKUP(22, Data_Source!$A$2:$FC$100, 39, FALSE) &amp; "", "")</f>
        <v/>
      </c>
    </row>
    <row r="170" spans="2:5" ht="20" customHeight="1" x14ac:dyDescent="0.35">
      <c r="B170" s="30" t="str">
        <f>IF($B$167="","", "Nội dung góp ý cho chương trình đào tạo:")</f>
        <v/>
      </c>
      <c r="C170" s="31"/>
      <c r="D170" s="31"/>
      <c r="E170" s="31"/>
    </row>
    <row r="171" spans="2:5" ht="50" customHeight="1" x14ac:dyDescent="0.35">
      <c r="B171" s="32" t="str">
        <f>IF($B$167="","", IFERROR(IF(OR(VLOOKUP(22,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71" s="31"/>
      <c r="D171" s="31"/>
      <c r="E171" s="31"/>
    </row>
    <row r="172" spans="2:5" ht="12" customHeight="1" x14ac:dyDescent="0.35"/>
    <row r="173" spans="2:5" ht="24" customHeight="1" x14ac:dyDescent="0.35">
      <c r="B173" s="30" t="str">
        <f>IF(ISERROR(MATCH(23, Data_Source!$A$2:$A$100, 0)), "", "★ DOANH NGHIỆP #23: " &amp; IFERROR(VLOOKUP(23, Data_Source!$A$2:$FC$100, 3, FALSE) &amp; "", ""))</f>
        <v/>
      </c>
      <c r="C173" s="31"/>
      <c r="D173" s="31"/>
      <c r="E173" s="31"/>
    </row>
    <row r="174" spans="2:5" ht="20" customHeight="1" x14ac:dyDescent="0.35">
      <c r="B174" s="19" t="str">
        <f>IF($B$173="","", "Lĩnh vực hoạt động:")</f>
        <v/>
      </c>
      <c r="C174" s="19" t="str">
        <f>IFERROR(VLOOKUP(23, Data_Source!$A$2:$FC$100, 4, FALSE) &amp; "", "")</f>
        <v/>
      </c>
      <c r="D174" s="19" t="str">
        <f>IF($B$173="","", "Đại diện liên hệ / Chức vụ:")</f>
        <v/>
      </c>
      <c r="E174" s="19" t="str">
        <f>IFERROR(VLOOKUP(23, Data_Source!$A$2:$FC$100, 8, FALSE) &amp; "", "")</f>
        <v/>
      </c>
    </row>
    <row r="175" spans="2:5" ht="20" customHeight="1" x14ac:dyDescent="0.35">
      <c r="B175" s="19" t="str">
        <f>IF($B$173="","", "Số lượng cựu SV làm việc:")</f>
        <v/>
      </c>
      <c r="C175" s="20" t="str">
        <f>IFERROR(IF(VLOOKUP(23, Data_Source!$A$2:$FC$100, 12, FALSE)="","",VLOOKUP(23, Data_Source!$A$2:$FC$100, 12, FALSE)), "")</f>
        <v/>
      </c>
      <c r="D175" s="19" t="str">
        <f>IF($B$173="","", "Đánh giá chất lượng chung:")</f>
        <v/>
      </c>
      <c r="E175" s="20" t="str">
        <f>IFERROR(VLOOKUP(23, Data_Source!$A$2:$FC$100, 39, FALSE) &amp; "", "")</f>
        <v/>
      </c>
    </row>
    <row r="176" spans="2:5" ht="20" customHeight="1" x14ac:dyDescent="0.35">
      <c r="B176" s="30" t="str">
        <f>IF($B$173="","", "Nội dung góp ý cho chương trình đào tạo:")</f>
        <v/>
      </c>
      <c r="C176" s="31"/>
      <c r="D176" s="31"/>
      <c r="E176" s="31"/>
    </row>
    <row r="177" spans="2:5" ht="50" customHeight="1" x14ac:dyDescent="0.35">
      <c r="B177" s="32" t="str">
        <f>IF($B$173="","", IFERROR(IF(OR(VLOOKUP(23,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77" s="31"/>
      <c r="D177" s="31"/>
      <c r="E177" s="31"/>
    </row>
    <row r="178" spans="2:5" ht="12" customHeight="1" x14ac:dyDescent="0.35"/>
    <row r="179" spans="2:5" ht="24" customHeight="1" x14ac:dyDescent="0.35">
      <c r="B179" s="30" t="str">
        <f>IF(ISERROR(MATCH(24, Data_Source!$A$2:$A$100, 0)), "", "★ DOANH NGHIỆP #24: " &amp; IFERROR(VLOOKUP(24, Data_Source!$A$2:$FC$100, 3, FALSE) &amp; "", ""))</f>
        <v/>
      </c>
      <c r="C179" s="31"/>
      <c r="D179" s="31"/>
      <c r="E179" s="31"/>
    </row>
    <row r="180" spans="2:5" ht="20" customHeight="1" x14ac:dyDescent="0.35">
      <c r="B180" s="19" t="str">
        <f>IF($B$179="","", "Lĩnh vực hoạt động:")</f>
        <v/>
      </c>
      <c r="C180" s="19" t="str">
        <f>IFERROR(VLOOKUP(24, Data_Source!$A$2:$FC$100, 4, FALSE) &amp; "", "")</f>
        <v/>
      </c>
      <c r="D180" s="19" t="str">
        <f>IF($B$179="","", "Đại diện liên hệ / Chức vụ:")</f>
        <v/>
      </c>
      <c r="E180" s="19" t="str">
        <f>IFERROR(VLOOKUP(24, Data_Source!$A$2:$FC$100, 8, FALSE) &amp; "", "")</f>
        <v/>
      </c>
    </row>
    <row r="181" spans="2:5" ht="20" customHeight="1" x14ac:dyDescent="0.35">
      <c r="B181" s="19" t="str">
        <f>IF($B$179="","", "Số lượng cựu SV làm việc:")</f>
        <v/>
      </c>
      <c r="C181" s="20" t="str">
        <f>IFERROR(IF(VLOOKUP(24, Data_Source!$A$2:$FC$100, 12, FALSE)="","",VLOOKUP(24, Data_Source!$A$2:$FC$100, 12, FALSE)), "")</f>
        <v/>
      </c>
      <c r="D181" s="19" t="str">
        <f>IF($B$179="","", "Đánh giá chất lượng chung:")</f>
        <v/>
      </c>
      <c r="E181" s="20" t="str">
        <f>IFERROR(VLOOKUP(24, Data_Source!$A$2:$FC$100, 39, FALSE) &amp; "", "")</f>
        <v/>
      </c>
    </row>
    <row r="182" spans="2:5" ht="20" customHeight="1" x14ac:dyDescent="0.35">
      <c r="B182" s="30" t="str">
        <f>IF($B$179="","", "Nội dung góp ý cho chương trình đào tạo:")</f>
        <v/>
      </c>
      <c r="C182" s="31"/>
      <c r="D182" s="31"/>
      <c r="E182" s="31"/>
    </row>
    <row r="183" spans="2:5" ht="50" customHeight="1" x14ac:dyDescent="0.35">
      <c r="B183" s="32" t="str">
        <f>IF($B$179="","", IFERROR(IF(OR(VLOOKUP(24,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83" s="31"/>
      <c r="D183" s="31"/>
      <c r="E183" s="31"/>
    </row>
    <row r="184" spans="2:5" ht="12" customHeight="1" x14ac:dyDescent="0.35"/>
    <row r="185" spans="2:5" ht="24" customHeight="1" x14ac:dyDescent="0.35">
      <c r="B185" s="30" t="str">
        <f>IF(ISERROR(MATCH(25, Data_Source!$A$2:$A$100, 0)), "", "★ DOANH NGHIỆP #25: " &amp; IFERROR(VLOOKUP(25, Data_Source!$A$2:$FC$100, 3, FALSE) &amp; "", ""))</f>
        <v/>
      </c>
      <c r="C185" s="31"/>
      <c r="D185" s="31"/>
      <c r="E185" s="31"/>
    </row>
    <row r="186" spans="2:5" ht="20" customHeight="1" x14ac:dyDescent="0.35">
      <c r="B186" s="19" t="str">
        <f>IF($B$185="","", "Lĩnh vực hoạt động:")</f>
        <v/>
      </c>
      <c r="C186" s="19" t="str">
        <f>IFERROR(VLOOKUP(25, Data_Source!$A$2:$FC$100, 4, FALSE) &amp; "", "")</f>
        <v/>
      </c>
      <c r="D186" s="19" t="str">
        <f>IF($B$185="","", "Đại diện liên hệ / Chức vụ:")</f>
        <v/>
      </c>
      <c r="E186" s="19" t="str">
        <f>IFERROR(VLOOKUP(25, Data_Source!$A$2:$FC$100, 8, FALSE) &amp; "", "")</f>
        <v/>
      </c>
    </row>
    <row r="187" spans="2:5" ht="20" customHeight="1" x14ac:dyDescent="0.35">
      <c r="B187" s="19" t="str">
        <f>IF($B$185="","", "Số lượng cựu SV làm việc:")</f>
        <v/>
      </c>
      <c r="C187" s="20" t="str">
        <f>IFERROR(IF(VLOOKUP(25, Data_Source!$A$2:$FC$100, 12, FALSE)="","",VLOOKUP(25, Data_Source!$A$2:$FC$100, 12, FALSE)), "")</f>
        <v/>
      </c>
      <c r="D187" s="19" t="str">
        <f>IF($B$185="","", "Đánh giá chất lượng chung:")</f>
        <v/>
      </c>
      <c r="E187" s="20" t="str">
        <f>IFERROR(VLOOKUP(25, Data_Source!$A$2:$FC$100, 39, FALSE) &amp; "", "")</f>
        <v/>
      </c>
    </row>
    <row r="188" spans="2:5" ht="20" customHeight="1" x14ac:dyDescent="0.35">
      <c r="B188" s="30" t="str">
        <f>IF($B$185="","", "Nội dung góp ý cho chương trình đào tạo:")</f>
        <v/>
      </c>
      <c r="C188" s="31"/>
      <c r="D188" s="31"/>
      <c r="E188" s="31"/>
    </row>
    <row r="189" spans="2:5" ht="50" customHeight="1" x14ac:dyDescent="0.35">
      <c r="B189" s="32" t="str">
        <f>IF($B$185="","", IFERROR(IF(OR(VLOOKUP(25,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89" s="31"/>
      <c r="D189" s="31"/>
      <c r="E189" s="31"/>
    </row>
    <row r="190" spans="2:5" ht="12" customHeight="1" x14ac:dyDescent="0.35"/>
    <row r="191" spans="2:5" ht="24" customHeight="1" x14ac:dyDescent="0.35">
      <c r="B191" s="30" t="str">
        <f>IF(ISERROR(MATCH(26, Data_Source!$A$2:$A$100, 0)), "", "★ DOANH NGHIỆP #26: " &amp; IFERROR(VLOOKUP(26, Data_Source!$A$2:$FC$100, 3, FALSE) &amp; "", ""))</f>
        <v/>
      </c>
      <c r="C191" s="31"/>
      <c r="D191" s="31"/>
      <c r="E191" s="31"/>
    </row>
    <row r="192" spans="2:5" ht="20" customHeight="1" x14ac:dyDescent="0.35">
      <c r="B192" s="19" t="str">
        <f>IF($B$191="","", "Lĩnh vực hoạt động:")</f>
        <v/>
      </c>
      <c r="C192" s="19" t="str">
        <f>IFERROR(VLOOKUP(26, Data_Source!$A$2:$FC$100, 4, FALSE) &amp; "", "")</f>
        <v/>
      </c>
      <c r="D192" s="19" t="str">
        <f>IF($B$191="","", "Đại diện liên hệ / Chức vụ:")</f>
        <v/>
      </c>
      <c r="E192" s="19" t="str">
        <f>IFERROR(VLOOKUP(26, Data_Source!$A$2:$FC$100, 8, FALSE) &amp; "", "")</f>
        <v/>
      </c>
    </row>
    <row r="193" spans="2:5" ht="20" customHeight="1" x14ac:dyDescent="0.35">
      <c r="B193" s="19" t="str">
        <f>IF($B$191="","", "Số lượng cựu SV làm việc:")</f>
        <v/>
      </c>
      <c r="C193" s="20" t="str">
        <f>IFERROR(IF(VLOOKUP(26, Data_Source!$A$2:$FC$100, 12, FALSE)="","",VLOOKUP(26, Data_Source!$A$2:$FC$100, 12, FALSE)), "")</f>
        <v/>
      </c>
      <c r="D193" s="19" t="str">
        <f>IF($B$191="","", "Đánh giá chất lượng chung:")</f>
        <v/>
      </c>
      <c r="E193" s="20" t="str">
        <f>IFERROR(VLOOKUP(26, Data_Source!$A$2:$FC$100, 39, FALSE) &amp; "", "")</f>
        <v/>
      </c>
    </row>
    <row r="194" spans="2:5" ht="20" customHeight="1" x14ac:dyDescent="0.35">
      <c r="B194" s="30" t="str">
        <f>IF($B$191="","", "Nội dung góp ý cho chương trình đào tạo:")</f>
        <v/>
      </c>
      <c r="C194" s="31"/>
      <c r="D194" s="31"/>
      <c r="E194" s="31"/>
    </row>
    <row r="195" spans="2:5" ht="50" customHeight="1" x14ac:dyDescent="0.35">
      <c r="B195" s="32" t="str">
        <f>IF($B$191="","", IFERROR(IF(OR(VLOOKUP(26,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VLOOKUP(26,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195" s="31"/>
      <c r="D195" s="31"/>
      <c r="E195" s="31"/>
    </row>
    <row r="196" spans="2:5" ht="12" customHeight="1" x14ac:dyDescent="0.35"/>
    <row r="197" spans="2:5" ht="24" customHeight="1" x14ac:dyDescent="0.35">
      <c r="B197" s="30" t="str">
        <f>IF(ISERROR(MATCH(27, Data_Source!$A$2:$A$100, 0)), "", "★ DOANH NGHIỆP #27: " &amp; IFERROR(VLOOKUP(27, Data_Source!$A$2:$FC$100, 3, FALSE) &amp; "", ""))</f>
        <v/>
      </c>
      <c r="C197" s="31"/>
      <c r="D197" s="31"/>
      <c r="E197" s="31"/>
    </row>
    <row r="198" spans="2:5" ht="20" customHeight="1" x14ac:dyDescent="0.35">
      <c r="B198" s="19" t="str">
        <f>IF($B$197="","", "Lĩnh vực hoạt động:")</f>
        <v/>
      </c>
      <c r="C198" s="19" t="str">
        <f>IFERROR(VLOOKUP(27, Data_Source!$A$2:$FC$100, 4, FALSE) &amp; "", "")</f>
        <v/>
      </c>
      <c r="D198" s="19" t="str">
        <f>IF($B$197="","", "Đại diện liên hệ / Chức vụ:")</f>
        <v/>
      </c>
      <c r="E198" s="19" t="str">
        <f>IFERROR(VLOOKUP(27, Data_Source!$A$2:$FC$100, 8, FALSE) &amp; "", "")</f>
        <v/>
      </c>
    </row>
    <row r="199" spans="2:5" ht="20" customHeight="1" x14ac:dyDescent="0.35">
      <c r="B199" s="19" t="str">
        <f>IF($B$197="","", "Số lượng cựu SV làm việc:")</f>
        <v/>
      </c>
      <c r="C199" s="20" t="str">
        <f>IFERROR(IF(VLOOKUP(27, Data_Source!$A$2:$FC$100, 12, FALSE)="","",VLOOKUP(27, Data_Source!$A$2:$FC$100, 12, FALSE)), "")</f>
        <v/>
      </c>
      <c r="D199" s="19" t="str">
        <f>IF($B$197="","", "Đánh giá chất lượng chung:")</f>
        <v/>
      </c>
      <c r="E199" s="20" t="str">
        <f>IFERROR(VLOOKUP(27, Data_Source!$A$2:$FC$100, 39, FALSE) &amp; "", "")</f>
        <v/>
      </c>
    </row>
    <row r="200" spans="2:5" ht="20" customHeight="1" x14ac:dyDescent="0.35">
      <c r="B200" s="30" t="str">
        <f>IF($B$197="","", "Nội dung góp ý cho chương trình đào tạo:")</f>
        <v/>
      </c>
      <c r="C200" s="31"/>
      <c r="D200" s="31"/>
      <c r="E200" s="31"/>
    </row>
    <row r="201" spans="2:5" ht="50" customHeight="1" x14ac:dyDescent="0.35">
      <c r="B201" s="32" t="str">
        <f>IF($B$197="","", IFERROR(IF(OR(VLOOKUP(27,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VLOOKUP(27,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01" s="31"/>
      <c r="D201" s="31"/>
      <c r="E201" s="31"/>
    </row>
    <row r="202" spans="2:5" ht="12" customHeight="1" x14ac:dyDescent="0.35"/>
    <row r="203" spans="2:5" ht="24" customHeight="1" x14ac:dyDescent="0.35">
      <c r="B203" s="30" t="str">
        <f>IF(ISERROR(MATCH(28, Data_Source!$A$2:$A$100, 0)), "", "★ DOANH NGHIỆP #28: " &amp; IFERROR(VLOOKUP(28, Data_Source!$A$2:$FC$100, 3, FALSE) &amp; "", ""))</f>
        <v/>
      </c>
      <c r="C203" s="31"/>
      <c r="D203" s="31"/>
      <c r="E203" s="31"/>
    </row>
    <row r="204" spans="2:5" ht="20" customHeight="1" x14ac:dyDescent="0.35">
      <c r="B204" s="19" t="str">
        <f>IF($B$203="","", "Lĩnh vực hoạt động:")</f>
        <v/>
      </c>
      <c r="C204" s="19" t="str">
        <f>IFERROR(VLOOKUP(28, Data_Source!$A$2:$FC$100, 4, FALSE) &amp; "", "")</f>
        <v/>
      </c>
      <c r="D204" s="19" t="str">
        <f>IF($B$203="","", "Đại diện liên hệ / Chức vụ:")</f>
        <v/>
      </c>
      <c r="E204" s="19" t="str">
        <f>IFERROR(VLOOKUP(28, Data_Source!$A$2:$FC$100, 8, FALSE) &amp; "", "")</f>
        <v/>
      </c>
    </row>
    <row r="205" spans="2:5" ht="20" customHeight="1" x14ac:dyDescent="0.35">
      <c r="B205" s="19" t="str">
        <f>IF($B$203="","", "Số lượng cựu SV làm việc:")</f>
        <v/>
      </c>
      <c r="C205" s="20" t="str">
        <f>IFERROR(IF(VLOOKUP(28, Data_Source!$A$2:$FC$100, 12, FALSE)="","",VLOOKUP(28, Data_Source!$A$2:$FC$100, 12, FALSE)), "")</f>
        <v/>
      </c>
      <c r="D205" s="19" t="str">
        <f>IF($B$203="","", "Đánh giá chất lượng chung:")</f>
        <v/>
      </c>
      <c r="E205" s="20" t="str">
        <f>IFERROR(VLOOKUP(28, Data_Source!$A$2:$FC$100, 39, FALSE) &amp; "", "")</f>
        <v/>
      </c>
    </row>
    <row r="206" spans="2:5" ht="20" customHeight="1" x14ac:dyDescent="0.35">
      <c r="B206" s="30" t="str">
        <f>IF($B$203="","", "Nội dung góp ý cho chương trình đào tạo:")</f>
        <v/>
      </c>
      <c r="C206" s="31"/>
      <c r="D206" s="31"/>
      <c r="E206" s="31"/>
    </row>
    <row r="207" spans="2:5" ht="50" customHeight="1" x14ac:dyDescent="0.35">
      <c r="B207" s="32" t="str">
        <f>IF($B$203="","", IFERROR(IF(OR(VLOOKUP(28,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VLOOKUP(28,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07" s="31"/>
      <c r="D207" s="31"/>
      <c r="E207" s="31"/>
    </row>
    <row r="208" spans="2:5" ht="12" customHeight="1" x14ac:dyDescent="0.35"/>
    <row r="209" spans="2:5" ht="24" customHeight="1" x14ac:dyDescent="0.35">
      <c r="B209" s="30" t="str">
        <f>IF(ISERROR(MATCH(29, Data_Source!$A$2:$A$100, 0)), "", "★ DOANH NGHIỆP #29: " &amp; IFERROR(VLOOKUP(29, Data_Source!$A$2:$FC$100, 3, FALSE) &amp; "", ""))</f>
        <v/>
      </c>
      <c r="C209" s="31"/>
      <c r="D209" s="31"/>
      <c r="E209" s="31"/>
    </row>
    <row r="210" spans="2:5" ht="20" customHeight="1" x14ac:dyDescent="0.35">
      <c r="B210" s="19" t="str">
        <f>IF($B$209="","", "Lĩnh vực hoạt động:")</f>
        <v/>
      </c>
      <c r="C210" s="19" t="str">
        <f>IFERROR(VLOOKUP(29, Data_Source!$A$2:$FC$100, 4, FALSE) &amp; "", "")</f>
        <v/>
      </c>
      <c r="D210" s="19" t="str">
        <f>IF($B$209="","", "Đại diện liên hệ / Chức vụ:")</f>
        <v/>
      </c>
      <c r="E210" s="19" t="str">
        <f>IFERROR(VLOOKUP(29, Data_Source!$A$2:$FC$100, 8, FALSE) &amp; "", "")</f>
        <v/>
      </c>
    </row>
    <row r="211" spans="2:5" ht="20" customHeight="1" x14ac:dyDescent="0.35">
      <c r="B211" s="19" t="str">
        <f>IF($B$209="","", "Số lượng cựu SV làm việc:")</f>
        <v/>
      </c>
      <c r="C211" s="20" t="str">
        <f>IFERROR(IF(VLOOKUP(29, Data_Source!$A$2:$FC$100, 12, FALSE)="","",VLOOKUP(29, Data_Source!$A$2:$FC$100, 12, FALSE)), "")</f>
        <v/>
      </c>
      <c r="D211" s="19" t="str">
        <f>IF($B$209="","", "Đánh giá chất lượng chung:")</f>
        <v/>
      </c>
      <c r="E211" s="20" t="str">
        <f>IFERROR(VLOOKUP(29, Data_Source!$A$2:$FC$100, 39, FALSE) &amp; "", "")</f>
        <v/>
      </c>
    </row>
    <row r="212" spans="2:5" ht="20" customHeight="1" x14ac:dyDescent="0.35">
      <c r="B212" s="30" t="str">
        <f>IF($B$209="","", "Nội dung góp ý cho chương trình đào tạo:")</f>
        <v/>
      </c>
      <c r="C212" s="31"/>
      <c r="D212" s="31"/>
      <c r="E212" s="31"/>
    </row>
    <row r="213" spans="2:5" ht="50" customHeight="1" x14ac:dyDescent="0.35">
      <c r="B213" s="32" t="str">
        <f>IF($B$209="","", IFERROR(IF(OR(VLOOKUP(29,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VLOOKUP(29,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VLOOKUP(29,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13" s="31"/>
      <c r="D213" s="31"/>
      <c r="E213" s="31"/>
    </row>
    <row r="214" spans="2:5" ht="12" customHeight="1" x14ac:dyDescent="0.35"/>
    <row r="215" spans="2:5" ht="24" customHeight="1" x14ac:dyDescent="0.35">
      <c r="B215" s="30" t="str">
        <f>IF(ISERROR(MATCH(30, Data_Source!$A$2:$A$100, 0)), "", "★ DOANH NGHIỆP #30: " &amp; IFERROR(VLOOKUP(30, Data_Source!$A$2:$FC$100, 3, FALSE) &amp; "", ""))</f>
        <v/>
      </c>
      <c r="C215" s="31"/>
      <c r="D215" s="31"/>
      <c r="E215" s="31"/>
    </row>
    <row r="216" spans="2:5" ht="20" customHeight="1" x14ac:dyDescent="0.35">
      <c r="B216" s="19" t="str">
        <f>IF($B$215="","", "Lĩnh vực hoạt động:")</f>
        <v/>
      </c>
      <c r="C216" s="19" t="str">
        <f>IFERROR(VLOOKUP(30, Data_Source!$A$2:$FC$100, 4, FALSE) &amp; "", "")</f>
        <v/>
      </c>
      <c r="D216" s="19" t="str">
        <f>IF($B$215="","", "Đại diện liên hệ / Chức vụ:")</f>
        <v/>
      </c>
      <c r="E216" s="19" t="str">
        <f>IFERROR(VLOOKUP(30, Data_Source!$A$2:$FC$100, 8, FALSE) &amp; "", "")</f>
        <v/>
      </c>
    </row>
    <row r="217" spans="2:5" ht="20" customHeight="1" x14ac:dyDescent="0.35">
      <c r="B217" s="19" t="str">
        <f>IF($B$215="","", "Số lượng cựu SV làm việc:")</f>
        <v/>
      </c>
      <c r="C217" s="20" t="str">
        <f>IFERROR(IF(VLOOKUP(30, Data_Source!$A$2:$FC$100, 12, FALSE)="","",VLOOKUP(30, Data_Source!$A$2:$FC$100, 12, FALSE)), "")</f>
        <v/>
      </c>
      <c r="D217" s="19" t="str">
        <f>IF($B$215="","", "Đánh giá chất lượng chung:")</f>
        <v/>
      </c>
      <c r="E217" s="20" t="str">
        <f>IFERROR(VLOOKUP(30, Data_Source!$A$2:$FC$100, 39, FALSE) &amp; "", "")</f>
        <v/>
      </c>
    </row>
    <row r="218" spans="2:5" ht="20" customHeight="1" x14ac:dyDescent="0.35">
      <c r="B218" s="30" t="str">
        <f>IF($B$215="","", "Nội dung góp ý cho chương trình đào tạo:")</f>
        <v/>
      </c>
      <c r="C218" s="31"/>
      <c r="D218" s="31"/>
      <c r="E218" s="31"/>
    </row>
    <row r="219" spans="2:5" ht="50" customHeight="1" x14ac:dyDescent="0.35">
      <c r="B219" s="32" t="str">
        <f>IF($B$215="","", IFERROR(IF(OR(VLOOKUP(30,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VLOOKUP(30,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VLOOKUP(30,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19" s="31"/>
      <c r="D219" s="31"/>
      <c r="E219" s="31"/>
    </row>
    <row r="220" spans="2:5" ht="12" customHeight="1" x14ac:dyDescent="0.35"/>
    <row r="221" spans="2:5" ht="24" customHeight="1" x14ac:dyDescent="0.35">
      <c r="B221" s="30" t="str">
        <f>IF(ISERROR(MATCH(31, Data_Source!$A$2:$A$100, 0)), "", "★ DOANH NGHIỆP #31: " &amp; IFERROR(VLOOKUP(31, Data_Source!$A$2:$FC$100, 3, FALSE) &amp; "", ""))</f>
        <v/>
      </c>
      <c r="C221" s="31"/>
      <c r="D221" s="31"/>
      <c r="E221" s="31"/>
    </row>
    <row r="222" spans="2:5" ht="20" customHeight="1" x14ac:dyDescent="0.35">
      <c r="B222" s="19" t="str">
        <f>IF($B$221="","", "Lĩnh vực hoạt động:")</f>
        <v/>
      </c>
      <c r="C222" s="19" t="str">
        <f>IFERROR(VLOOKUP(31, Data_Source!$A$2:$FC$100, 4, FALSE) &amp; "", "")</f>
        <v/>
      </c>
      <c r="D222" s="19" t="str">
        <f>IF($B$221="","", "Đại diện liên hệ / Chức vụ:")</f>
        <v/>
      </c>
      <c r="E222" s="19" t="str">
        <f>IFERROR(VLOOKUP(31, Data_Source!$A$2:$FC$100, 8, FALSE) &amp; "", "")</f>
        <v/>
      </c>
    </row>
    <row r="223" spans="2:5" ht="20" customHeight="1" x14ac:dyDescent="0.35">
      <c r="B223" s="19" t="str">
        <f>IF($B$221="","", "Số lượng cựu SV làm việc:")</f>
        <v/>
      </c>
      <c r="C223" s="20" t="str">
        <f>IFERROR(IF(VLOOKUP(31, Data_Source!$A$2:$FC$100, 12, FALSE)="","",VLOOKUP(31, Data_Source!$A$2:$FC$100, 12, FALSE)), "")</f>
        <v/>
      </c>
      <c r="D223" s="19" t="str">
        <f>IF($B$221="","", "Đánh giá chất lượng chung:")</f>
        <v/>
      </c>
      <c r="E223" s="20" t="str">
        <f>IFERROR(VLOOKUP(31, Data_Source!$A$2:$FC$100, 39, FALSE) &amp; "", "")</f>
        <v/>
      </c>
    </row>
    <row r="224" spans="2:5" ht="20" customHeight="1" x14ac:dyDescent="0.35">
      <c r="B224" s="30" t="str">
        <f>IF($B$221="","", "Nội dung góp ý cho chương trình đào tạo:")</f>
        <v/>
      </c>
      <c r="C224" s="31"/>
      <c r="D224" s="31"/>
      <c r="E224" s="31"/>
    </row>
    <row r="225" spans="2:5" ht="50" customHeight="1" x14ac:dyDescent="0.35">
      <c r="B225" s="32" t="str">
        <f>IF($B$221="","", IFERROR(IF(OR(VLOOKUP(31,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VLOOKUP(31,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VLOOKUP(31,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25" s="31"/>
      <c r="D225" s="31"/>
      <c r="E225" s="31"/>
    </row>
    <row r="226" spans="2:5" ht="12" customHeight="1" x14ac:dyDescent="0.35"/>
    <row r="227" spans="2:5" ht="24" customHeight="1" x14ac:dyDescent="0.35">
      <c r="B227" s="30" t="str">
        <f>IF(ISERROR(MATCH(32, Data_Source!$A$2:$A$100, 0)), "", "★ DOANH NGHIỆP #32: " &amp; IFERROR(VLOOKUP(32, Data_Source!$A$2:$FC$100, 3, FALSE) &amp; "", ""))</f>
        <v/>
      </c>
      <c r="C227" s="31"/>
      <c r="D227" s="31"/>
      <c r="E227" s="31"/>
    </row>
    <row r="228" spans="2:5" ht="20" customHeight="1" x14ac:dyDescent="0.35">
      <c r="B228" s="19" t="str">
        <f>IF($B$227="","", "Lĩnh vực hoạt động:")</f>
        <v/>
      </c>
      <c r="C228" s="19" t="str">
        <f>IFERROR(VLOOKUP(32, Data_Source!$A$2:$FC$100, 4, FALSE) &amp; "", "")</f>
        <v/>
      </c>
      <c r="D228" s="19" t="str">
        <f>IF($B$227="","", "Đại diện liên hệ / Chức vụ:")</f>
        <v/>
      </c>
      <c r="E228" s="19" t="str">
        <f>IFERROR(VLOOKUP(32, Data_Source!$A$2:$FC$100, 8, FALSE) &amp; "", "")</f>
        <v/>
      </c>
    </row>
    <row r="229" spans="2:5" ht="20" customHeight="1" x14ac:dyDescent="0.35">
      <c r="B229" s="19" t="str">
        <f>IF($B$227="","", "Số lượng cựu SV làm việc:")</f>
        <v/>
      </c>
      <c r="C229" s="20" t="str">
        <f>IFERROR(IF(VLOOKUP(32, Data_Source!$A$2:$FC$100, 12, FALSE)="","",VLOOKUP(32, Data_Source!$A$2:$FC$100, 12, FALSE)), "")</f>
        <v/>
      </c>
      <c r="D229" s="19" t="str">
        <f>IF($B$227="","", "Đánh giá chất lượng chung:")</f>
        <v/>
      </c>
      <c r="E229" s="20" t="str">
        <f>IFERROR(VLOOKUP(32, Data_Source!$A$2:$FC$100, 39, FALSE) &amp; "", "")</f>
        <v/>
      </c>
    </row>
    <row r="230" spans="2:5" ht="20" customHeight="1" x14ac:dyDescent="0.35">
      <c r="B230" s="30" t="str">
        <f>IF($B$227="","", "Nội dung góp ý cho chương trình đào tạo:")</f>
        <v/>
      </c>
      <c r="C230" s="31"/>
      <c r="D230" s="31"/>
      <c r="E230" s="31"/>
    </row>
    <row r="231" spans="2:5" ht="50" customHeight="1" x14ac:dyDescent="0.35">
      <c r="B231" s="32" t="str">
        <f>IF($B$227="","", IFERROR(IF(OR(VLOOKUP(32,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VLOOKUP(32,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VLOOKUP(32,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31" s="31"/>
      <c r="D231" s="31"/>
      <c r="E231" s="31"/>
    </row>
    <row r="232" spans="2:5" ht="12" customHeight="1" x14ac:dyDescent="0.35"/>
    <row r="233" spans="2:5" ht="24" customHeight="1" x14ac:dyDescent="0.35">
      <c r="B233" s="30" t="str">
        <f>IF(ISERROR(MATCH(33, Data_Source!$A$2:$A$100, 0)), "", "★ DOANH NGHIỆP #33: " &amp; IFERROR(VLOOKUP(33, Data_Source!$A$2:$FC$100, 3, FALSE) &amp; "", ""))</f>
        <v/>
      </c>
      <c r="C233" s="31"/>
      <c r="D233" s="31"/>
      <c r="E233" s="31"/>
    </row>
    <row r="234" spans="2:5" ht="20" customHeight="1" x14ac:dyDescent="0.35">
      <c r="B234" s="19" t="str">
        <f>IF($B$233="","", "Lĩnh vực hoạt động:")</f>
        <v/>
      </c>
      <c r="C234" s="19" t="str">
        <f>IFERROR(VLOOKUP(33, Data_Source!$A$2:$FC$100, 4, FALSE) &amp; "", "")</f>
        <v/>
      </c>
      <c r="D234" s="19" t="str">
        <f>IF($B$233="","", "Đại diện liên hệ / Chức vụ:")</f>
        <v/>
      </c>
      <c r="E234" s="19" t="str">
        <f>IFERROR(VLOOKUP(33, Data_Source!$A$2:$FC$100, 8, FALSE) &amp; "", "")</f>
        <v/>
      </c>
    </row>
    <row r="235" spans="2:5" ht="20" customHeight="1" x14ac:dyDescent="0.35">
      <c r="B235" s="19" t="str">
        <f>IF($B$233="","", "Số lượng cựu SV làm việc:")</f>
        <v/>
      </c>
      <c r="C235" s="20" t="str">
        <f>IFERROR(IF(VLOOKUP(33, Data_Source!$A$2:$FC$100, 12, FALSE)="","",VLOOKUP(33, Data_Source!$A$2:$FC$100, 12, FALSE)), "")</f>
        <v/>
      </c>
      <c r="D235" s="19" t="str">
        <f>IF($B$233="","", "Đánh giá chất lượng chung:")</f>
        <v/>
      </c>
      <c r="E235" s="20" t="str">
        <f>IFERROR(VLOOKUP(33, Data_Source!$A$2:$FC$100, 39, FALSE) &amp; "", "")</f>
        <v/>
      </c>
    </row>
    <row r="236" spans="2:5" ht="20" customHeight="1" x14ac:dyDescent="0.35">
      <c r="B236" s="30" t="str">
        <f>IF($B$233="","", "Nội dung góp ý cho chương trình đào tạo:")</f>
        <v/>
      </c>
      <c r="C236" s="31"/>
      <c r="D236" s="31"/>
      <c r="E236" s="31"/>
    </row>
    <row r="237" spans="2:5" ht="50" customHeight="1" x14ac:dyDescent="0.35">
      <c r="B237" s="32" t="str">
        <f>IF($B$233="","", IFERROR(IF(OR(VLOOKUP(33,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VLOOKUP(33,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VLOOKUP(33,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37" s="31"/>
      <c r="D237" s="31"/>
      <c r="E237" s="31"/>
    </row>
    <row r="238" spans="2:5" ht="12" customHeight="1" x14ac:dyDescent="0.35"/>
    <row r="239" spans="2:5" ht="24" customHeight="1" x14ac:dyDescent="0.35">
      <c r="B239" s="30" t="str">
        <f>IF(ISERROR(MATCH(34, Data_Source!$A$2:$A$100, 0)), "", "★ DOANH NGHIỆP #34: " &amp; IFERROR(VLOOKUP(34, Data_Source!$A$2:$FC$100, 3, FALSE) &amp; "", ""))</f>
        <v/>
      </c>
      <c r="C239" s="31"/>
      <c r="D239" s="31"/>
      <c r="E239" s="31"/>
    </row>
    <row r="240" spans="2:5" ht="20" customHeight="1" x14ac:dyDescent="0.35">
      <c r="B240" s="19" t="str">
        <f>IF($B$239="","", "Lĩnh vực hoạt động:")</f>
        <v/>
      </c>
      <c r="C240" s="19" t="str">
        <f>IFERROR(VLOOKUP(34, Data_Source!$A$2:$FC$100, 4, FALSE) &amp; "", "")</f>
        <v/>
      </c>
      <c r="D240" s="19" t="str">
        <f>IF($B$239="","", "Đại diện liên hệ / Chức vụ:")</f>
        <v/>
      </c>
      <c r="E240" s="19" t="str">
        <f>IFERROR(VLOOKUP(34, Data_Source!$A$2:$FC$100, 8, FALSE) &amp; "", "")</f>
        <v/>
      </c>
    </row>
    <row r="241" spans="2:5" ht="20" customHeight="1" x14ac:dyDescent="0.35">
      <c r="B241" s="19" t="str">
        <f>IF($B$239="","", "Số lượng cựu SV làm việc:")</f>
        <v/>
      </c>
      <c r="C241" s="20" t="str">
        <f>IFERROR(IF(VLOOKUP(34, Data_Source!$A$2:$FC$100, 12, FALSE)="","",VLOOKUP(34, Data_Source!$A$2:$FC$100, 12, FALSE)), "")</f>
        <v/>
      </c>
      <c r="D241" s="19" t="str">
        <f>IF($B$239="","", "Đánh giá chất lượng chung:")</f>
        <v/>
      </c>
      <c r="E241" s="20" t="str">
        <f>IFERROR(VLOOKUP(34, Data_Source!$A$2:$FC$100, 39, FALSE) &amp; "", "")</f>
        <v/>
      </c>
    </row>
    <row r="242" spans="2:5" ht="20" customHeight="1" x14ac:dyDescent="0.35">
      <c r="B242" s="30" t="str">
        <f>IF($B$239="","", "Nội dung góp ý cho chương trình đào tạo:")</f>
        <v/>
      </c>
      <c r="C242" s="31"/>
      <c r="D242" s="31"/>
      <c r="E242" s="31"/>
    </row>
    <row r="243" spans="2:5" ht="50" customHeight="1" x14ac:dyDescent="0.35">
      <c r="B243" s="32" t="str">
        <f>IF($B$239="","", IFERROR(IF(OR(VLOOKUP(34,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VLOOKUP(34,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VLOOKUP(34,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43" s="31"/>
      <c r="D243" s="31"/>
      <c r="E243" s="31"/>
    </row>
    <row r="244" spans="2:5" ht="12" customHeight="1" x14ac:dyDescent="0.35"/>
    <row r="245" spans="2:5" ht="24" customHeight="1" x14ac:dyDescent="0.35">
      <c r="B245" s="30" t="str">
        <f>IF(ISERROR(MATCH(35, Data_Source!$A$2:$A$100, 0)), "", "★ DOANH NGHIỆP #35: " &amp; IFERROR(VLOOKUP(35, Data_Source!$A$2:$FC$100, 3, FALSE) &amp; "", ""))</f>
        <v/>
      </c>
      <c r="C245" s="31"/>
      <c r="D245" s="31"/>
      <c r="E245" s="31"/>
    </row>
    <row r="246" spans="2:5" ht="20" customHeight="1" x14ac:dyDescent="0.35">
      <c r="B246" s="19" t="str">
        <f>IF($B$245="","", "Lĩnh vực hoạt động:")</f>
        <v/>
      </c>
      <c r="C246" s="19" t="str">
        <f>IFERROR(VLOOKUP(35, Data_Source!$A$2:$FC$100, 4, FALSE) &amp; "", "")</f>
        <v/>
      </c>
      <c r="D246" s="19" t="str">
        <f>IF($B$245="","", "Đại diện liên hệ / Chức vụ:")</f>
        <v/>
      </c>
      <c r="E246" s="19" t="str">
        <f>IFERROR(VLOOKUP(35, Data_Source!$A$2:$FC$100, 8, FALSE) &amp; "", "")</f>
        <v/>
      </c>
    </row>
    <row r="247" spans="2:5" ht="20" customHeight="1" x14ac:dyDescent="0.35">
      <c r="B247" s="19" t="str">
        <f>IF($B$245="","", "Số lượng cựu SV làm việc:")</f>
        <v/>
      </c>
      <c r="C247" s="20" t="str">
        <f>IFERROR(IF(VLOOKUP(35, Data_Source!$A$2:$FC$100, 12, FALSE)="","",VLOOKUP(35, Data_Source!$A$2:$FC$100, 12, FALSE)), "")</f>
        <v/>
      </c>
      <c r="D247" s="19" t="str">
        <f>IF($B$245="","", "Đánh giá chất lượng chung:")</f>
        <v/>
      </c>
      <c r="E247" s="20" t="str">
        <f>IFERROR(VLOOKUP(35, Data_Source!$A$2:$FC$100, 39, FALSE) &amp; "", "")</f>
        <v/>
      </c>
    </row>
    <row r="248" spans="2:5" ht="20" customHeight="1" x14ac:dyDescent="0.35">
      <c r="B248" s="30" t="str">
        <f>IF($B$245="","", "Nội dung góp ý cho chương trình đào tạo:")</f>
        <v/>
      </c>
      <c r="C248" s="31"/>
      <c r="D248" s="31"/>
      <c r="E248" s="31"/>
    </row>
    <row r="249" spans="2:5" ht="50" customHeight="1" x14ac:dyDescent="0.35">
      <c r="B249" s="32" t="str">
        <f>IF($B$245="","", IFERROR(IF(OR(VLOOKUP(35,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VLOOKUP(35,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FALSE)=0), "None", VLOOKUP(35, Data_Source!$A$2:$FC$100, IF($C$5="CHUYÊN NGÀNH CƠ KHÍ NÔNG LÂM", 60, IF($C$5="CƠ KHÍ CHẾ BIẾN VÀ BẢO QUẢN NÔNG SẢN THỰC PHẨM", 73, IF($C$5="CÔNG NGHỆ KỸ THUẬT CƠ KHÍ - CHƯƠNG TRÌNH NÂNG CAO", 86, IF($C$5="CÔNG NGHỆ KỸ THUẬT Ô TÔ", 99, IF($C$5="CÔNG NGHỆ KỸ THUẬT CƠ ĐIỆN TỬ", 112, IF($C$5="CÔNG NGHỆ KỸ THUẬT NHIỆT", 125, IF($C$5="KỸ THUẬT ĐIỀU KHIỂN VÀ TỰ ĐỘNG HÓA", 138, IF($C$5="CÔNG NGHỆ KỸ THUẬT NĂNG LƯỢNG TÁI TẠO", 151, 159)))))))), FALSE)), ""))</f>
        <v/>
      </c>
      <c r="C249" s="31"/>
      <c r="D249" s="31"/>
      <c r="E249" s="31"/>
    </row>
    <row r="250" spans="2:5" ht="12" customHeight="1" x14ac:dyDescent="0.35"/>
  </sheetData>
  <mergeCells count="113">
    <mergeCell ref="B245:E245"/>
    <mergeCell ref="H8:I8"/>
    <mergeCell ref="B128:E128"/>
    <mergeCell ref="B137:E137"/>
    <mergeCell ref="B233:E233"/>
    <mergeCell ref="B227:E227"/>
    <mergeCell ref="B59:E59"/>
    <mergeCell ref="B125:E125"/>
    <mergeCell ref="B8:C8"/>
    <mergeCell ref="B159:E159"/>
    <mergeCell ref="H7:I7"/>
    <mergeCell ref="B152:E152"/>
    <mergeCell ref="B167:E167"/>
    <mergeCell ref="B161:E161"/>
    <mergeCell ref="B219:E219"/>
    <mergeCell ref="B111:E111"/>
    <mergeCell ref="B98:E98"/>
    <mergeCell ref="D8:E8"/>
    <mergeCell ref="B225:E225"/>
    <mergeCell ref="B147:E147"/>
    <mergeCell ref="F7:G7"/>
    <mergeCell ref="B153:E153"/>
    <mergeCell ref="B242:E242"/>
    <mergeCell ref="B224:E224"/>
    <mergeCell ref="B185:E185"/>
    <mergeCell ref="B200:E200"/>
    <mergeCell ref="B134:E134"/>
    <mergeCell ref="B81:E81"/>
    <mergeCell ref="B194:E194"/>
    <mergeCell ref="F8:G8"/>
    <mergeCell ref="B122:E122"/>
    <mergeCell ref="B56:E56"/>
    <mergeCell ref="B71:E71"/>
    <mergeCell ref="B105:E105"/>
    <mergeCell ref="B236:E236"/>
    <mergeCell ref="B176:E176"/>
    <mergeCell ref="B107:E107"/>
    <mergeCell ref="B57:E57"/>
    <mergeCell ref="B170:E170"/>
    <mergeCell ref="B171:E171"/>
    <mergeCell ref="B44:E44"/>
    <mergeCell ref="B99:E99"/>
    <mergeCell ref="B239:E239"/>
    <mergeCell ref="B83:E83"/>
    <mergeCell ref="B117:E117"/>
    <mergeCell ref="B231:E231"/>
    <mergeCell ref="B179:E179"/>
    <mergeCell ref="B53:E53"/>
    <mergeCell ref="B119:E119"/>
    <mergeCell ref="B116:E116"/>
    <mergeCell ref="B230:E230"/>
    <mergeCell ref="B7:C7"/>
    <mergeCell ref="B158:E158"/>
    <mergeCell ref="B80:E80"/>
    <mergeCell ref="B95:E95"/>
    <mergeCell ref="B89:E89"/>
    <mergeCell ref="B143:E143"/>
    <mergeCell ref="B92:E92"/>
    <mergeCell ref="B189:E189"/>
    <mergeCell ref="B213:E213"/>
    <mergeCell ref="B188:E188"/>
    <mergeCell ref="B75:E75"/>
    <mergeCell ref="B135:E135"/>
    <mergeCell ref="B218:E218"/>
    <mergeCell ref="B62:E62"/>
    <mergeCell ref="D7:E7"/>
    <mergeCell ref="B86:E86"/>
    <mergeCell ref="B248:E248"/>
    <mergeCell ref="B101:E101"/>
    <mergeCell ref="B69:E69"/>
    <mergeCell ref="B182:E182"/>
    <mergeCell ref="B191:E191"/>
    <mergeCell ref="B249:E249"/>
    <mergeCell ref="B243:E243"/>
    <mergeCell ref="B87:E87"/>
    <mergeCell ref="B183:E183"/>
    <mergeCell ref="B177:E177"/>
    <mergeCell ref="B104:E104"/>
    <mergeCell ref="B51:E51"/>
    <mergeCell ref="B164:E164"/>
    <mergeCell ref="B63:E63"/>
    <mergeCell ref="B197:E197"/>
    <mergeCell ref="B41:E41"/>
    <mergeCell ref="B212:E212"/>
    <mergeCell ref="B206:E206"/>
    <mergeCell ref="B50:E50"/>
    <mergeCell ref="B237:E237"/>
    <mergeCell ref="B129:E129"/>
    <mergeCell ref="B209:E209"/>
    <mergeCell ref="B146:E146"/>
    <mergeCell ref="B65:E65"/>
    <mergeCell ref="B74:E74"/>
    <mergeCell ref="B68:E68"/>
    <mergeCell ref="B201:E201"/>
    <mergeCell ref="B123:E123"/>
    <mergeCell ref="B207:E207"/>
    <mergeCell ref="B221:E221"/>
    <mergeCell ref="B45:E45"/>
    <mergeCell ref="B110:E110"/>
    <mergeCell ref="B203:E203"/>
    <mergeCell ref="B113:E113"/>
    <mergeCell ref="B173:E173"/>
    <mergeCell ref="B165:E165"/>
    <mergeCell ref="B47:E47"/>
    <mergeCell ref="B141:E141"/>
    <mergeCell ref="B155:E155"/>
    <mergeCell ref="B93:E93"/>
    <mergeCell ref="B149:E149"/>
    <mergeCell ref="B215:E215"/>
    <mergeCell ref="B131:E131"/>
    <mergeCell ref="B140:E140"/>
    <mergeCell ref="B195:E195"/>
    <mergeCell ref="B77:E77"/>
  </mergeCells>
  <conditionalFormatting sqref="B42:B43">
    <cfRule type="expression" dxfId="279" priority="2">
      <formula>$B$41&lt;&gt;""</formula>
    </cfRule>
  </conditionalFormatting>
  <conditionalFormatting sqref="B48:B49">
    <cfRule type="expression" dxfId="278" priority="13">
      <formula>$B$47&lt;&gt;""</formula>
    </cfRule>
  </conditionalFormatting>
  <conditionalFormatting sqref="B54:B55">
    <cfRule type="expression" dxfId="277" priority="24">
      <formula>$B$53&lt;&gt;""</formula>
    </cfRule>
  </conditionalFormatting>
  <conditionalFormatting sqref="B60:B61">
    <cfRule type="expression" dxfId="276" priority="35">
      <formula>$B$59&lt;&gt;""</formula>
    </cfRule>
  </conditionalFormatting>
  <conditionalFormatting sqref="B66:B67">
    <cfRule type="expression" dxfId="275" priority="46">
      <formula>$B$65&lt;&gt;""</formula>
    </cfRule>
  </conditionalFormatting>
  <conditionalFormatting sqref="B72:B73">
    <cfRule type="expression" dxfId="274" priority="57">
      <formula>$B$71&lt;&gt;""</formula>
    </cfRule>
  </conditionalFormatting>
  <conditionalFormatting sqref="B78:B79">
    <cfRule type="expression" dxfId="273" priority="68">
      <formula>$B$77&lt;&gt;""</formula>
    </cfRule>
  </conditionalFormatting>
  <conditionalFormatting sqref="B84:B85">
    <cfRule type="expression" dxfId="272" priority="79">
      <formula>$B$83&lt;&gt;""</formula>
    </cfRule>
  </conditionalFormatting>
  <conditionalFormatting sqref="B90:B91">
    <cfRule type="expression" dxfId="271" priority="90">
      <formula>$B$89&lt;&gt;""</formula>
    </cfRule>
  </conditionalFormatting>
  <conditionalFormatting sqref="B96:B97">
    <cfRule type="expression" dxfId="270" priority="101">
      <formula>$B$95&lt;&gt;""</formula>
    </cfRule>
  </conditionalFormatting>
  <conditionalFormatting sqref="B102:B103">
    <cfRule type="expression" dxfId="269" priority="112">
      <formula>$B$101&lt;&gt;""</formula>
    </cfRule>
  </conditionalFormatting>
  <conditionalFormatting sqref="B108:B109">
    <cfRule type="expression" dxfId="268" priority="123">
      <formula>$B$107&lt;&gt;""</formula>
    </cfRule>
  </conditionalFormatting>
  <conditionalFormatting sqref="B114:B115">
    <cfRule type="expression" dxfId="267" priority="134">
      <formula>$B$113&lt;&gt;""</formula>
    </cfRule>
  </conditionalFormatting>
  <conditionalFormatting sqref="B120:B121">
    <cfRule type="expression" dxfId="266" priority="145">
      <formula>$B$119&lt;&gt;""</formula>
    </cfRule>
  </conditionalFormatting>
  <conditionalFormatting sqref="B126:B127">
    <cfRule type="expression" dxfId="265" priority="156">
      <formula>$B$125&lt;&gt;""</formula>
    </cfRule>
  </conditionalFormatting>
  <conditionalFormatting sqref="B132:B133">
    <cfRule type="expression" dxfId="264" priority="167">
      <formula>$B$131&lt;&gt;""</formula>
    </cfRule>
  </conditionalFormatting>
  <conditionalFormatting sqref="B138:B139">
    <cfRule type="expression" dxfId="263" priority="178">
      <formula>$B$137&lt;&gt;""</formula>
    </cfRule>
  </conditionalFormatting>
  <conditionalFormatting sqref="B144:B145">
    <cfRule type="expression" dxfId="262" priority="189">
      <formula>$B$143&lt;&gt;""</formula>
    </cfRule>
  </conditionalFormatting>
  <conditionalFormatting sqref="B150:B151">
    <cfRule type="expression" dxfId="261" priority="200">
      <formula>$B$149&lt;&gt;""</formula>
    </cfRule>
  </conditionalFormatting>
  <conditionalFormatting sqref="B156:B157">
    <cfRule type="expression" dxfId="260" priority="211">
      <formula>$B$155&lt;&gt;""</formula>
    </cfRule>
  </conditionalFormatting>
  <conditionalFormatting sqref="B162:B163">
    <cfRule type="expression" dxfId="259" priority="222">
      <formula>$B$161&lt;&gt;""</formula>
    </cfRule>
  </conditionalFormatting>
  <conditionalFormatting sqref="B168:B169">
    <cfRule type="expression" dxfId="258" priority="233">
      <formula>$B$167&lt;&gt;""</formula>
    </cfRule>
  </conditionalFormatting>
  <conditionalFormatting sqref="B174:B175">
    <cfRule type="expression" dxfId="257" priority="244">
      <formula>$B$173&lt;&gt;""</formula>
    </cfRule>
  </conditionalFormatting>
  <conditionalFormatting sqref="B180:B181">
    <cfRule type="expression" dxfId="256" priority="255">
      <formula>$B$179&lt;&gt;""</formula>
    </cfRule>
  </conditionalFormatting>
  <conditionalFormatting sqref="B186:B187">
    <cfRule type="expression" dxfId="255" priority="266">
      <formula>$B$185&lt;&gt;""</formula>
    </cfRule>
  </conditionalFormatting>
  <conditionalFormatting sqref="B192:B193">
    <cfRule type="expression" dxfId="254" priority="277">
      <formula>$B$191&lt;&gt;""</formula>
    </cfRule>
  </conditionalFormatting>
  <conditionalFormatting sqref="B198:B199">
    <cfRule type="expression" dxfId="253" priority="288">
      <formula>$B$197&lt;&gt;""</formula>
    </cfRule>
  </conditionalFormatting>
  <conditionalFormatting sqref="B204:B205">
    <cfRule type="expression" dxfId="252" priority="299">
      <formula>$B$203&lt;&gt;""</formula>
    </cfRule>
  </conditionalFormatting>
  <conditionalFormatting sqref="B210:B211">
    <cfRule type="expression" dxfId="251" priority="310">
      <formula>$B$209&lt;&gt;""</formula>
    </cfRule>
  </conditionalFormatting>
  <conditionalFormatting sqref="B216:B217">
    <cfRule type="expression" dxfId="250" priority="321">
      <formula>$B$215&lt;&gt;""</formula>
    </cfRule>
  </conditionalFormatting>
  <conditionalFormatting sqref="B222:B223">
    <cfRule type="expression" dxfId="249" priority="332">
      <formula>$B$221&lt;&gt;""</formula>
    </cfRule>
  </conditionalFormatting>
  <conditionalFormatting sqref="B228:B229">
    <cfRule type="expression" dxfId="248" priority="343">
      <formula>$B$227&lt;&gt;""</formula>
    </cfRule>
  </conditionalFormatting>
  <conditionalFormatting sqref="B234:B235">
    <cfRule type="expression" dxfId="247" priority="354">
      <formula>$B$233&lt;&gt;""</formula>
    </cfRule>
  </conditionalFormatting>
  <conditionalFormatting sqref="B240:B241">
    <cfRule type="expression" dxfId="246" priority="365">
      <formula>$B$239&lt;&gt;""</formula>
    </cfRule>
  </conditionalFormatting>
  <conditionalFormatting sqref="B246:B247">
    <cfRule type="expression" dxfId="245" priority="376">
      <formula>$B$245&lt;&gt;""</formula>
    </cfRule>
  </conditionalFormatting>
  <conditionalFormatting sqref="B41:E41">
    <cfRule type="expression" dxfId="244" priority="1">
      <formula>$B$41&lt;&gt;""</formula>
    </cfRule>
  </conditionalFormatting>
  <conditionalFormatting sqref="B44:E44">
    <cfRule type="expression" dxfId="243" priority="6">
      <formula>$B$41&lt;&gt;""</formula>
    </cfRule>
  </conditionalFormatting>
  <conditionalFormatting sqref="B45:E45">
    <cfRule type="expression" dxfId="242" priority="11">
      <formula>$B$41&lt;&gt;""</formula>
    </cfRule>
  </conditionalFormatting>
  <conditionalFormatting sqref="B47:E47">
    <cfRule type="expression" dxfId="241" priority="12">
      <formula>$B$47&lt;&gt;""</formula>
    </cfRule>
  </conditionalFormatting>
  <conditionalFormatting sqref="B50:E50">
    <cfRule type="expression" dxfId="240" priority="17">
      <formula>$B$47&lt;&gt;""</formula>
    </cfRule>
  </conditionalFormatting>
  <conditionalFormatting sqref="B51:E51">
    <cfRule type="expression" dxfId="239" priority="22">
      <formula>$B$47&lt;&gt;""</formula>
    </cfRule>
  </conditionalFormatting>
  <conditionalFormatting sqref="B53:E53">
    <cfRule type="expression" dxfId="238" priority="23">
      <formula>$B$53&lt;&gt;""</formula>
    </cfRule>
  </conditionalFormatting>
  <conditionalFormatting sqref="B56:E56">
    <cfRule type="expression" dxfId="237" priority="28">
      <formula>$B$53&lt;&gt;""</formula>
    </cfRule>
  </conditionalFormatting>
  <conditionalFormatting sqref="B57:E57">
    <cfRule type="expression" dxfId="236" priority="33">
      <formula>$B$53&lt;&gt;""</formula>
    </cfRule>
  </conditionalFormatting>
  <conditionalFormatting sqref="B59:E59">
    <cfRule type="expression" dxfId="235" priority="34">
      <formula>$B$59&lt;&gt;""</formula>
    </cfRule>
  </conditionalFormatting>
  <conditionalFormatting sqref="B62:E62">
    <cfRule type="expression" dxfId="234" priority="39">
      <formula>$B$59&lt;&gt;""</formula>
    </cfRule>
  </conditionalFormatting>
  <conditionalFormatting sqref="B63:E63">
    <cfRule type="expression" dxfId="233" priority="44">
      <formula>$B$59&lt;&gt;""</formula>
    </cfRule>
  </conditionalFormatting>
  <conditionalFormatting sqref="B65:E65">
    <cfRule type="expression" dxfId="232" priority="45">
      <formula>$B$65&lt;&gt;""</formula>
    </cfRule>
  </conditionalFormatting>
  <conditionalFormatting sqref="B68:E68">
    <cfRule type="expression" dxfId="231" priority="50">
      <formula>$B$65&lt;&gt;""</formula>
    </cfRule>
  </conditionalFormatting>
  <conditionalFormatting sqref="B69:E69">
    <cfRule type="expression" dxfId="230" priority="55">
      <formula>$B$65&lt;&gt;""</formula>
    </cfRule>
  </conditionalFormatting>
  <conditionalFormatting sqref="B71:E71">
    <cfRule type="expression" dxfId="229" priority="56">
      <formula>$B$71&lt;&gt;""</formula>
    </cfRule>
  </conditionalFormatting>
  <conditionalFormatting sqref="B74:E74">
    <cfRule type="expression" dxfId="228" priority="61">
      <formula>$B$71&lt;&gt;""</formula>
    </cfRule>
  </conditionalFormatting>
  <conditionalFormatting sqref="B75:E75">
    <cfRule type="expression" dxfId="227" priority="66">
      <formula>$B$71&lt;&gt;""</formula>
    </cfRule>
  </conditionalFormatting>
  <conditionalFormatting sqref="B77:E77">
    <cfRule type="expression" dxfId="226" priority="67">
      <formula>$B$77&lt;&gt;""</formula>
    </cfRule>
  </conditionalFormatting>
  <conditionalFormatting sqref="B80:E80">
    <cfRule type="expression" dxfId="225" priority="72">
      <formula>$B$77&lt;&gt;""</formula>
    </cfRule>
  </conditionalFormatting>
  <conditionalFormatting sqref="B81:E81">
    <cfRule type="expression" dxfId="224" priority="77">
      <formula>$B$77&lt;&gt;""</formula>
    </cfRule>
  </conditionalFormatting>
  <conditionalFormatting sqref="B83:E83">
    <cfRule type="expression" dxfId="223" priority="78">
      <formula>$B$83&lt;&gt;""</formula>
    </cfRule>
  </conditionalFormatting>
  <conditionalFormatting sqref="B86:E86">
    <cfRule type="expression" dxfId="222" priority="83">
      <formula>$B$83&lt;&gt;""</formula>
    </cfRule>
  </conditionalFormatting>
  <conditionalFormatting sqref="B87:E87">
    <cfRule type="expression" dxfId="221" priority="88">
      <formula>$B$83&lt;&gt;""</formula>
    </cfRule>
  </conditionalFormatting>
  <conditionalFormatting sqref="B89:E89">
    <cfRule type="expression" dxfId="220" priority="89">
      <formula>$B$89&lt;&gt;""</formula>
    </cfRule>
  </conditionalFormatting>
  <conditionalFormatting sqref="B92:E92">
    <cfRule type="expression" dxfId="219" priority="94">
      <formula>$B$89&lt;&gt;""</formula>
    </cfRule>
  </conditionalFormatting>
  <conditionalFormatting sqref="B93:E93">
    <cfRule type="expression" dxfId="218" priority="99">
      <formula>$B$89&lt;&gt;""</formula>
    </cfRule>
  </conditionalFormatting>
  <conditionalFormatting sqref="B95:E95">
    <cfRule type="expression" dxfId="217" priority="100">
      <formula>$B$95&lt;&gt;""</formula>
    </cfRule>
  </conditionalFormatting>
  <conditionalFormatting sqref="B98:E98">
    <cfRule type="expression" dxfId="216" priority="105">
      <formula>$B$95&lt;&gt;""</formula>
    </cfRule>
  </conditionalFormatting>
  <conditionalFormatting sqref="B99:E99">
    <cfRule type="expression" dxfId="215" priority="110">
      <formula>$B$95&lt;&gt;""</formula>
    </cfRule>
  </conditionalFormatting>
  <conditionalFormatting sqref="B101:E101">
    <cfRule type="expression" dxfId="214" priority="111">
      <formula>$B$101&lt;&gt;""</formula>
    </cfRule>
  </conditionalFormatting>
  <conditionalFormatting sqref="B104:E104">
    <cfRule type="expression" dxfId="213" priority="116">
      <formula>$B$101&lt;&gt;""</formula>
    </cfRule>
  </conditionalFormatting>
  <conditionalFormatting sqref="B105:E105">
    <cfRule type="expression" dxfId="212" priority="121">
      <formula>$B$101&lt;&gt;""</formula>
    </cfRule>
  </conditionalFormatting>
  <conditionalFormatting sqref="B107:E107">
    <cfRule type="expression" dxfId="211" priority="122">
      <formula>$B$107&lt;&gt;""</formula>
    </cfRule>
  </conditionalFormatting>
  <conditionalFormatting sqref="B110:E110">
    <cfRule type="expression" dxfId="210" priority="127">
      <formula>$B$107&lt;&gt;""</formula>
    </cfRule>
  </conditionalFormatting>
  <conditionalFormatting sqref="B111:E111">
    <cfRule type="expression" dxfId="209" priority="132">
      <formula>$B$107&lt;&gt;""</formula>
    </cfRule>
  </conditionalFormatting>
  <conditionalFormatting sqref="B113:E113">
    <cfRule type="expression" dxfId="208" priority="133">
      <formula>$B$113&lt;&gt;""</formula>
    </cfRule>
  </conditionalFormatting>
  <conditionalFormatting sqref="B116:E116">
    <cfRule type="expression" dxfId="207" priority="138">
      <formula>$B$113&lt;&gt;""</formula>
    </cfRule>
  </conditionalFormatting>
  <conditionalFormatting sqref="B117:E117">
    <cfRule type="expression" dxfId="206" priority="143">
      <formula>$B$113&lt;&gt;""</formula>
    </cfRule>
  </conditionalFormatting>
  <conditionalFormatting sqref="B119:E119">
    <cfRule type="expression" dxfId="205" priority="144">
      <formula>$B$119&lt;&gt;""</formula>
    </cfRule>
  </conditionalFormatting>
  <conditionalFormatting sqref="B122:E122">
    <cfRule type="expression" dxfId="204" priority="149">
      <formula>$B$119&lt;&gt;""</formula>
    </cfRule>
  </conditionalFormatting>
  <conditionalFormatting sqref="B123:E123">
    <cfRule type="expression" dxfId="203" priority="154">
      <formula>$B$119&lt;&gt;""</formula>
    </cfRule>
  </conditionalFormatting>
  <conditionalFormatting sqref="B125:E125">
    <cfRule type="expression" dxfId="202" priority="155">
      <formula>$B$125&lt;&gt;""</formula>
    </cfRule>
  </conditionalFormatting>
  <conditionalFormatting sqref="B128:E128">
    <cfRule type="expression" dxfId="201" priority="160">
      <formula>$B$125&lt;&gt;""</formula>
    </cfRule>
  </conditionalFormatting>
  <conditionalFormatting sqref="B129:E129">
    <cfRule type="expression" dxfId="200" priority="165">
      <formula>$B$125&lt;&gt;""</formula>
    </cfRule>
  </conditionalFormatting>
  <conditionalFormatting sqref="B131:E131">
    <cfRule type="expression" dxfId="199" priority="166">
      <formula>$B$131&lt;&gt;""</formula>
    </cfRule>
  </conditionalFormatting>
  <conditionalFormatting sqref="B134:E134">
    <cfRule type="expression" dxfId="198" priority="171">
      <formula>$B$131&lt;&gt;""</formula>
    </cfRule>
  </conditionalFormatting>
  <conditionalFormatting sqref="B135:E135">
    <cfRule type="expression" dxfId="197" priority="176">
      <formula>$B$131&lt;&gt;""</formula>
    </cfRule>
  </conditionalFormatting>
  <conditionalFormatting sqref="B137:E137">
    <cfRule type="expression" dxfId="196" priority="177">
      <formula>$B$137&lt;&gt;""</formula>
    </cfRule>
  </conditionalFormatting>
  <conditionalFormatting sqref="B140:E140">
    <cfRule type="expression" dxfId="195" priority="182">
      <formula>$B$137&lt;&gt;""</formula>
    </cfRule>
  </conditionalFormatting>
  <conditionalFormatting sqref="B141:E141">
    <cfRule type="expression" dxfId="194" priority="187">
      <formula>$B$137&lt;&gt;""</formula>
    </cfRule>
  </conditionalFormatting>
  <conditionalFormatting sqref="B143:E143">
    <cfRule type="expression" dxfId="193" priority="188">
      <formula>$B$143&lt;&gt;""</formula>
    </cfRule>
  </conditionalFormatting>
  <conditionalFormatting sqref="B146:E146">
    <cfRule type="expression" dxfId="192" priority="193">
      <formula>$B$143&lt;&gt;""</formula>
    </cfRule>
  </conditionalFormatting>
  <conditionalFormatting sqref="B147:E147">
    <cfRule type="expression" dxfId="191" priority="198">
      <formula>$B$143&lt;&gt;""</formula>
    </cfRule>
  </conditionalFormatting>
  <conditionalFormatting sqref="B149:E149">
    <cfRule type="expression" dxfId="190" priority="199">
      <formula>$B$149&lt;&gt;""</formula>
    </cfRule>
  </conditionalFormatting>
  <conditionalFormatting sqref="B152:E152">
    <cfRule type="expression" dxfId="189" priority="204">
      <formula>$B$149&lt;&gt;""</formula>
    </cfRule>
  </conditionalFormatting>
  <conditionalFormatting sqref="B153:E153">
    <cfRule type="expression" dxfId="188" priority="209">
      <formula>$B$149&lt;&gt;""</formula>
    </cfRule>
  </conditionalFormatting>
  <conditionalFormatting sqref="B155:E155">
    <cfRule type="expression" dxfId="187" priority="210">
      <formula>$B$155&lt;&gt;""</formula>
    </cfRule>
  </conditionalFormatting>
  <conditionalFormatting sqref="B158:E158">
    <cfRule type="expression" dxfId="186" priority="215">
      <formula>$B$155&lt;&gt;""</formula>
    </cfRule>
  </conditionalFormatting>
  <conditionalFormatting sqref="B159:E159">
    <cfRule type="expression" dxfId="185" priority="220">
      <formula>$B$155&lt;&gt;""</formula>
    </cfRule>
  </conditionalFormatting>
  <conditionalFormatting sqref="B161:E161">
    <cfRule type="expression" dxfId="184" priority="221">
      <formula>$B$161&lt;&gt;""</formula>
    </cfRule>
  </conditionalFormatting>
  <conditionalFormatting sqref="B164:E164">
    <cfRule type="expression" dxfId="183" priority="226">
      <formula>$B$161&lt;&gt;""</formula>
    </cfRule>
  </conditionalFormatting>
  <conditionalFormatting sqref="B165:E165">
    <cfRule type="expression" dxfId="182" priority="231">
      <formula>$B$161&lt;&gt;""</formula>
    </cfRule>
  </conditionalFormatting>
  <conditionalFormatting sqref="B167:E167">
    <cfRule type="expression" dxfId="181" priority="232">
      <formula>$B$167&lt;&gt;""</formula>
    </cfRule>
  </conditionalFormatting>
  <conditionalFormatting sqref="B170:E170">
    <cfRule type="expression" dxfId="180" priority="237">
      <formula>$B$167&lt;&gt;""</formula>
    </cfRule>
  </conditionalFormatting>
  <conditionalFormatting sqref="B171:E171">
    <cfRule type="expression" dxfId="179" priority="242">
      <formula>$B$167&lt;&gt;""</formula>
    </cfRule>
  </conditionalFormatting>
  <conditionalFormatting sqref="B173:E173">
    <cfRule type="expression" dxfId="178" priority="243">
      <formula>$B$173&lt;&gt;""</formula>
    </cfRule>
  </conditionalFormatting>
  <conditionalFormatting sqref="B176:E176">
    <cfRule type="expression" dxfId="177" priority="248">
      <formula>$B$173&lt;&gt;""</formula>
    </cfRule>
  </conditionalFormatting>
  <conditionalFormatting sqref="B177:E177">
    <cfRule type="expression" dxfId="176" priority="253">
      <formula>$B$173&lt;&gt;""</formula>
    </cfRule>
  </conditionalFormatting>
  <conditionalFormatting sqref="B179:E179">
    <cfRule type="expression" dxfId="175" priority="254">
      <formula>$B$179&lt;&gt;""</formula>
    </cfRule>
  </conditionalFormatting>
  <conditionalFormatting sqref="B182:E182">
    <cfRule type="expression" dxfId="174" priority="259">
      <formula>$B$179&lt;&gt;""</formula>
    </cfRule>
  </conditionalFormatting>
  <conditionalFormatting sqref="B183:E183">
    <cfRule type="expression" dxfId="173" priority="264">
      <formula>$B$179&lt;&gt;""</formula>
    </cfRule>
  </conditionalFormatting>
  <conditionalFormatting sqref="B185:E185">
    <cfRule type="expression" dxfId="172" priority="265">
      <formula>$B$185&lt;&gt;""</formula>
    </cfRule>
  </conditionalFormatting>
  <conditionalFormatting sqref="B188:E188">
    <cfRule type="expression" dxfId="171" priority="270">
      <formula>$B$185&lt;&gt;""</formula>
    </cfRule>
  </conditionalFormatting>
  <conditionalFormatting sqref="B189:E189">
    <cfRule type="expression" dxfId="170" priority="275">
      <formula>$B$185&lt;&gt;""</formula>
    </cfRule>
  </conditionalFormatting>
  <conditionalFormatting sqref="B191:E191">
    <cfRule type="expression" dxfId="169" priority="276">
      <formula>$B$191&lt;&gt;""</formula>
    </cfRule>
  </conditionalFormatting>
  <conditionalFormatting sqref="B194:E194">
    <cfRule type="expression" dxfId="168" priority="281">
      <formula>$B$191&lt;&gt;""</formula>
    </cfRule>
  </conditionalFormatting>
  <conditionalFormatting sqref="B195:E195">
    <cfRule type="expression" dxfId="167" priority="286">
      <formula>$B$191&lt;&gt;""</formula>
    </cfRule>
  </conditionalFormatting>
  <conditionalFormatting sqref="B197:E197">
    <cfRule type="expression" dxfId="166" priority="287">
      <formula>$B$197&lt;&gt;""</formula>
    </cfRule>
  </conditionalFormatting>
  <conditionalFormatting sqref="B200:E200">
    <cfRule type="expression" dxfId="165" priority="292">
      <formula>$B$197&lt;&gt;""</formula>
    </cfRule>
  </conditionalFormatting>
  <conditionalFormatting sqref="B201:E201">
    <cfRule type="expression" dxfId="164" priority="297">
      <formula>$B$197&lt;&gt;""</formula>
    </cfRule>
  </conditionalFormatting>
  <conditionalFormatting sqref="B203:E203">
    <cfRule type="expression" dxfId="163" priority="298">
      <formula>$B$203&lt;&gt;""</formula>
    </cfRule>
  </conditionalFormatting>
  <conditionalFormatting sqref="B206:E206">
    <cfRule type="expression" dxfId="162" priority="303">
      <formula>$B$203&lt;&gt;""</formula>
    </cfRule>
  </conditionalFormatting>
  <conditionalFormatting sqref="B207:E207">
    <cfRule type="expression" dxfId="161" priority="308">
      <formula>$B$203&lt;&gt;""</formula>
    </cfRule>
  </conditionalFormatting>
  <conditionalFormatting sqref="B209:E209">
    <cfRule type="expression" dxfId="160" priority="309">
      <formula>$B$209&lt;&gt;""</formula>
    </cfRule>
  </conditionalFormatting>
  <conditionalFormatting sqref="B212:E212">
    <cfRule type="expression" dxfId="159" priority="314">
      <formula>$B$209&lt;&gt;""</formula>
    </cfRule>
  </conditionalFormatting>
  <conditionalFormatting sqref="B213:E213">
    <cfRule type="expression" dxfId="158" priority="319">
      <formula>$B$209&lt;&gt;""</formula>
    </cfRule>
  </conditionalFormatting>
  <conditionalFormatting sqref="B215:E215">
    <cfRule type="expression" dxfId="157" priority="320">
      <formula>$B$215&lt;&gt;""</formula>
    </cfRule>
  </conditionalFormatting>
  <conditionalFormatting sqref="B218:E218">
    <cfRule type="expression" dxfId="156" priority="325">
      <formula>$B$215&lt;&gt;""</formula>
    </cfRule>
  </conditionalFormatting>
  <conditionalFormatting sqref="B219:E219">
    <cfRule type="expression" dxfId="155" priority="330">
      <formula>$B$215&lt;&gt;""</formula>
    </cfRule>
  </conditionalFormatting>
  <conditionalFormatting sqref="B221:E221">
    <cfRule type="expression" dxfId="154" priority="331">
      <formula>$B$221&lt;&gt;""</formula>
    </cfRule>
  </conditionalFormatting>
  <conditionalFormatting sqref="B224:E224">
    <cfRule type="expression" dxfId="153" priority="336">
      <formula>$B$221&lt;&gt;""</formula>
    </cfRule>
  </conditionalFormatting>
  <conditionalFormatting sqref="B225:E225">
    <cfRule type="expression" dxfId="152" priority="341">
      <formula>$B$221&lt;&gt;""</formula>
    </cfRule>
  </conditionalFormatting>
  <conditionalFormatting sqref="B227:E227">
    <cfRule type="expression" dxfId="151" priority="342">
      <formula>$B$227&lt;&gt;""</formula>
    </cfRule>
  </conditionalFormatting>
  <conditionalFormatting sqref="B230:E230">
    <cfRule type="expression" dxfId="150" priority="347">
      <formula>$B$227&lt;&gt;""</formula>
    </cfRule>
  </conditionalFormatting>
  <conditionalFormatting sqref="B231:E231">
    <cfRule type="expression" dxfId="149" priority="352">
      <formula>$B$227&lt;&gt;""</formula>
    </cfRule>
  </conditionalFormatting>
  <conditionalFormatting sqref="B233:E233">
    <cfRule type="expression" dxfId="148" priority="353">
      <formula>$B$233&lt;&gt;""</formula>
    </cfRule>
  </conditionalFormatting>
  <conditionalFormatting sqref="B236:E236">
    <cfRule type="expression" dxfId="147" priority="358">
      <formula>$B$233&lt;&gt;""</formula>
    </cfRule>
  </conditionalFormatting>
  <conditionalFormatting sqref="B237:E237">
    <cfRule type="expression" dxfId="146" priority="363">
      <formula>$B$233&lt;&gt;""</formula>
    </cfRule>
  </conditionalFormatting>
  <conditionalFormatting sqref="B239:E239">
    <cfRule type="expression" dxfId="145" priority="364">
      <formula>$B$239&lt;&gt;""</formula>
    </cfRule>
  </conditionalFormatting>
  <conditionalFormatting sqref="B242:E242">
    <cfRule type="expression" dxfId="144" priority="369">
      <formula>$B$239&lt;&gt;""</formula>
    </cfRule>
  </conditionalFormatting>
  <conditionalFormatting sqref="B243:E243">
    <cfRule type="expression" dxfId="143" priority="374">
      <formula>$B$239&lt;&gt;""</formula>
    </cfRule>
  </conditionalFormatting>
  <conditionalFormatting sqref="B245:E245">
    <cfRule type="expression" dxfId="142" priority="375">
      <formula>$B$245&lt;&gt;""</formula>
    </cfRule>
  </conditionalFormatting>
  <conditionalFormatting sqref="B248:E248">
    <cfRule type="expression" dxfId="141" priority="380">
      <formula>$B$245&lt;&gt;""</formula>
    </cfRule>
  </conditionalFormatting>
  <conditionalFormatting sqref="B249:E249">
    <cfRule type="expression" dxfId="140" priority="385">
      <formula>$B$245&lt;&gt;""</formula>
    </cfRule>
  </conditionalFormatting>
  <conditionalFormatting sqref="C42:C43">
    <cfRule type="expression" dxfId="139" priority="7">
      <formula>$B$41&lt;&gt;""</formula>
    </cfRule>
  </conditionalFormatting>
  <conditionalFormatting sqref="C48:C49">
    <cfRule type="expression" dxfId="138" priority="18">
      <formula>$B$47&lt;&gt;""</formula>
    </cfRule>
  </conditionalFormatting>
  <conditionalFormatting sqref="C54:C55">
    <cfRule type="expression" dxfId="137" priority="29">
      <formula>$B$53&lt;&gt;""</formula>
    </cfRule>
  </conditionalFormatting>
  <conditionalFormatting sqref="C60:C61">
    <cfRule type="expression" dxfId="136" priority="40">
      <formula>$B$59&lt;&gt;""</formula>
    </cfRule>
  </conditionalFormatting>
  <conditionalFormatting sqref="C66:C67">
    <cfRule type="expression" dxfId="135" priority="51">
      <formula>$B$65&lt;&gt;""</formula>
    </cfRule>
  </conditionalFormatting>
  <conditionalFormatting sqref="C72:C73">
    <cfRule type="expression" dxfId="134" priority="62">
      <formula>$B$71&lt;&gt;""</formula>
    </cfRule>
  </conditionalFormatting>
  <conditionalFormatting sqref="C78:C79">
    <cfRule type="expression" dxfId="133" priority="73">
      <formula>$B$77&lt;&gt;""</formula>
    </cfRule>
  </conditionalFormatting>
  <conditionalFormatting sqref="C84:C85">
    <cfRule type="expression" dxfId="132" priority="84">
      <formula>$B$83&lt;&gt;""</formula>
    </cfRule>
  </conditionalFormatting>
  <conditionalFormatting sqref="C90:C91">
    <cfRule type="expression" dxfId="131" priority="95">
      <formula>$B$89&lt;&gt;""</formula>
    </cfRule>
  </conditionalFormatting>
  <conditionalFormatting sqref="C96:C97">
    <cfRule type="expression" dxfId="130" priority="106">
      <formula>$B$95&lt;&gt;""</formula>
    </cfRule>
  </conditionalFormatting>
  <conditionalFormatting sqref="C102:C103">
    <cfRule type="expression" dxfId="129" priority="117">
      <formula>$B$101&lt;&gt;""</formula>
    </cfRule>
  </conditionalFormatting>
  <conditionalFormatting sqref="C108:C109">
    <cfRule type="expression" dxfId="128" priority="128">
      <formula>$B$107&lt;&gt;""</formula>
    </cfRule>
  </conditionalFormatting>
  <conditionalFormatting sqref="C114:C115">
    <cfRule type="expression" dxfId="127" priority="139">
      <formula>$B$113&lt;&gt;""</formula>
    </cfRule>
  </conditionalFormatting>
  <conditionalFormatting sqref="C120:C121">
    <cfRule type="expression" dxfId="126" priority="150">
      <formula>$B$119&lt;&gt;""</formula>
    </cfRule>
  </conditionalFormatting>
  <conditionalFormatting sqref="C126:C127">
    <cfRule type="expression" dxfId="125" priority="161">
      <formula>$B$125&lt;&gt;""</formula>
    </cfRule>
  </conditionalFormatting>
  <conditionalFormatting sqref="C132:C133">
    <cfRule type="expression" dxfId="124" priority="172">
      <formula>$B$131&lt;&gt;""</formula>
    </cfRule>
  </conditionalFormatting>
  <conditionalFormatting sqref="C138:C139">
    <cfRule type="expression" dxfId="123" priority="183">
      <formula>$B$137&lt;&gt;""</formula>
    </cfRule>
  </conditionalFormatting>
  <conditionalFormatting sqref="C144:C145">
    <cfRule type="expression" dxfId="122" priority="194">
      <formula>$B$143&lt;&gt;""</formula>
    </cfRule>
  </conditionalFormatting>
  <conditionalFormatting sqref="C150:C151">
    <cfRule type="expression" dxfId="121" priority="205">
      <formula>$B$149&lt;&gt;""</formula>
    </cfRule>
  </conditionalFormatting>
  <conditionalFormatting sqref="C156:C157">
    <cfRule type="expression" dxfId="120" priority="216">
      <formula>$B$155&lt;&gt;""</formula>
    </cfRule>
  </conditionalFormatting>
  <conditionalFormatting sqref="C162:C163">
    <cfRule type="expression" dxfId="119" priority="227">
      <formula>$B$161&lt;&gt;""</formula>
    </cfRule>
  </conditionalFormatting>
  <conditionalFormatting sqref="C168:C169">
    <cfRule type="expression" dxfId="118" priority="238">
      <formula>$B$167&lt;&gt;""</formula>
    </cfRule>
  </conditionalFormatting>
  <conditionalFormatting sqref="C174:C175">
    <cfRule type="expression" dxfId="117" priority="249">
      <formula>$B$173&lt;&gt;""</formula>
    </cfRule>
  </conditionalFormatting>
  <conditionalFormatting sqref="C180:C181">
    <cfRule type="expression" dxfId="116" priority="260">
      <formula>$B$179&lt;&gt;""</formula>
    </cfRule>
  </conditionalFormatting>
  <conditionalFormatting sqref="C186:C187">
    <cfRule type="expression" dxfId="115" priority="271">
      <formula>$B$185&lt;&gt;""</formula>
    </cfRule>
  </conditionalFormatting>
  <conditionalFormatting sqref="C192:C193">
    <cfRule type="expression" dxfId="114" priority="282">
      <formula>$B$191&lt;&gt;""</formula>
    </cfRule>
  </conditionalFormatting>
  <conditionalFormatting sqref="C198:C199">
    <cfRule type="expression" dxfId="113" priority="293">
      <formula>$B$197&lt;&gt;""</formula>
    </cfRule>
  </conditionalFormatting>
  <conditionalFormatting sqref="C204:C205">
    <cfRule type="expression" dxfId="112" priority="304">
      <formula>$B$203&lt;&gt;""</formula>
    </cfRule>
  </conditionalFormatting>
  <conditionalFormatting sqref="C210:C211">
    <cfRule type="expression" dxfId="111" priority="315">
      <formula>$B$209&lt;&gt;""</formula>
    </cfRule>
  </conditionalFormatting>
  <conditionalFormatting sqref="C216:C217">
    <cfRule type="expression" dxfId="110" priority="326">
      <formula>$B$215&lt;&gt;""</formula>
    </cfRule>
  </conditionalFormatting>
  <conditionalFormatting sqref="C222:C223">
    <cfRule type="expression" dxfId="109" priority="337">
      <formula>$B$221&lt;&gt;""</formula>
    </cfRule>
  </conditionalFormatting>
  <conditionalFormatting sqref="C228:C229">
    <cfRule type="expression" dxfId="108" priority="348">
      <formula>$B$227&lt;&gt;""</formula>
    </cfRule>
  </conditionalFormatting>
  <conditionalFormatting sqref="C234:C235">
    <cfRule type="expression" dxfId="107" priority="359">
      <formula>$B$233&lt;&gt;""</formula>
    </cfRule>
  </conditionalFormatting>
  <conditionalFormatting sqref="C240:C241">
    <cfRule type="expression" dxfId="106" priority="370">
      <formula>$B$239&lt;&gt;""</formula>
    </cfRule>
  </conditionalFormatting>
  <conditionalFormatting sqref="C246:C247">
    <cfRule type="expression" dxfId="105" priority="381">
      <formula>$B$245&lt;&gt;""</formula>
    </cfRule>
  </conditionalFormatting>
  <conditionalFormatting sqref="D42:D43">
    <cfRule type="expression" dxfId="104" priority="4">
      <formula>$B$41&lt;&gt;""</formula>
    </cfRule>
  </conditionalFormatting>
  <conditionalFormatting sqref="D48:D49">
    <cfRule type="expression" dxfId="103" priority="15">
      <formula>$B$47&lt;&gt;""</formula>
    </cfRule>
  </conditionalFormatting>
  <conditionalFormatting sqref="D54:D55">
    <cfRule type="expression" dxfId="102" priority="26">
      <formula>$B$53&lt;&gt;""</formula>
    </cfRule>
  </conditionalFormatting>
  <conditionalFormatting sqref="D60:D61">
    <cfRule type="expression" dxfId="101" priority="37">
      <formula>$B$59&lt;&gt;""</formula>
    </cfRule>
  </conditionalFormatting>
  <conditionalFormatting sqref="D66:D67">
    <cfRule type="expression" dxfId="100" priority="48">
      <formula>$B$65&lt;&gt;""</formula>
    </cfRule>
  </conditionalFormatting>
  <conditionalFormatting sqref="D72:D73">
    <cfRule type="expression" dxfId="99" priority="59">
      <formula>$B$71&lt;&gt;""</formula>
    </cfRule>
  </conditionalFormatting>
  <conditionalFormatting sqref="D78:D79">
    <cfRule type="expression" dxfId="98" priority="70">
      <formula>$B$77&lt;&gt;""</formula>
    </cfRule>
  </conditionalFormatting>
  <conditionalFormatting sqref="D84:D85">
    <cfRule type="expression" dxfId="97" priority="81">
      <formula>$B$83&lt;&gt;""</formula>
    </cfRule>
  </conditionalFormatting>
  <conditionalFormatting sqref="D90:D91">
    <cfRule type="expression" dxfId="96" priority="92">
      <formula>$B$89&lt;&gt;""</formula>
    </cfRule>
  </conditionalFormatting>
  <conditionalFormatting sqref="D96:D97">
    <cfRule type="expression" dxfId="95" priority="103">
      <formula>$B$95&lt;&gt;""</formula>
    </cfRule>
  </conditionalFormatting>
  <conditionalFormatting sqref="D102:D103">
    <cfRule type="expression" dxfId="94" priority="114">
      <formula>$B$101&lt;&gt;""</formula>
    </cfRule>
  </conditionalFormatting>
  <conditionalFormatting sqref="D108:D109">
    <cfRule type="expression" dxfId="93" priority="125">
      <formula>$B$107&lt;&gt;""</formula>
    </cfRule>
  </conditionalFormatting>
  <conditionalFormatting sqref="D114:D115">
    <cfRule type="expression" dxfId="92" priority="136">
      <formula>$B$113&lt;&gt;""</formula>
    </cfRule>
  </conditionalFormatting>
  <conditionalFormatting sqref="D120:D121">
    <cfRule type="expression" dxfId="91" priority="147">
      <formula>$B$119&lt;&gt;""</formula>
    </cfRule>
  </conditionalFormatting>
  <conditionalFormatting sqref="D126:D127">
    <cfRule type="expression" dxfId="90" priority="158">
      <formula>$B$125&lt;&gt;""</formula>
    </cfRule>
  </conditionalFormatting>
  <conditionalFormatting sqref="D132:D133">
    <cfRule type="expression" dxfId="89" priority="169">
      <formula>$B$131&lt;&gt;""</formula>
    </cfRule>
  </conditionalFormatting>
  <conditionalFormatting sqref="D138:D139">
    <cfRule type="expression" dxfId="88" priority="180">
      <formula>$B$137&lt;&gt;""</formula>
    </cfRule>
  </conditionalFormatting>
  <conditionalFormatting sqref="D144:D145">
    <cfRule type="expression" dxfId="87" priority="191">
      <formula>$B$143&lt;&gt;""</formula>
    </cfRule>
  </conditionalFormatting>
  <conditionalFormatting sqref="D150:D151">
    <cfRule type="expression" dxfId="86" priority="202">
      <formula>$B$149&lt;&gt;""</formula>
    </cfRule>
  </conditionalFormatting>
  <conditionalFormatting sqref="D156:D157">
    <cfRule type="expression" dxfId="85" priority="213">
      <formula>$B$155&lt;&gt;""</formula>
    </cfRule>
  </conditionalFormatting>
  <conditionalFormatting sqref="D162:D163">
    <cfRule type="expression" dxfId="84" priority="224">
      <formula>$B$161&lt;&gt;""</formula>
    </cfRule>
  </conditionalFormatting>
  <conditionalFormatting sqref="D168:D169">
    <cfRule type="expression" dxfId="83" priority="235">
      <formula>$B$167&lt;&gt;""</formula>
    </cfRule>
  </conditionalFormatting>
  <conditionalFormatting sqref="D174:D175">
    <cfRule type="expression" dxfId="82" priority="246">
      <formula>$B$173&lt;&gt;""</formula>
    </cfRule>
  </conditionalFormatting>
  <conditionalFormatting sqref="D180:D181">
    <cfRule type="expression" dxfId="81" priority="257">
      <formula>$B$179&lt;&gt;""</formula>
    </cfRule>
  </conditionalFormatting>
  <conditionalFormatting sqref="D186:D187">
    <cfRule type="expression" dxfId="80" priority="268">
      <formula>$B$185&lt;&gt;""</formula>
    </cfRule>
  </conditionalFormatting>
  <conditionalFormatting sqref="D192:D193">
    <cfRule type="expression" dxfId="79" priority="279">
      <formula>$B$191&lt;&gt;""</formula>
    </cfRule>
  </conditionalFormatting>
  <conditionalFormatting sqref="D198:D199">
    <cfRule type="expression" dxfId="78" priority="290">
      <formula>$B$197&lt;&gt;""</formula>
    </cfRule>
  </conditionalFormatting>
  <conditionalFormatting sqref="D204:D205">
    <cfRule type="expression" dxfId="77" priority="301">
      <formula>$B$203&lt;&gt;""</formula>
    </cfRule>
  </conditionalFormatting>
  <conditionalFormatting sqref="D210:D211">
    <cfRule type="expression" dxfId="76" priority="312">
      <formula>$B$209&lt;&gt;""</formula>
    </cfRule>
  </conditionalFormatting>
  <conditionalFormatting sqref="D216:D217">
    <cfRule type="expression" dxfId="75" priority="323">
      <formula>$B$215&lt;&gt;""</formula>
    </cfRule>
  </conditionalFormatting>
  <conditionalFormatting sqref="D222:D223">
    <cfRule type="expression" dxfId="74" priority="334">
      <formula>$B$221&lt;&gt;""</formula>
    </cfRule>
  </conditionalFormatting>
  <conditionalFormatting sqref="D228:D229">
    <cfRule type="expression" dxfId="73" priority="345">
      <formula>$B$227&lt;&gt;""</formula>
    </cfRule>
  </conditionalFormatting>
  <conditionalFormatting sqref="D234:D235">
    <cfRule type="expression" dxfId="72" priority="356">
      <formula>$B$233&lt;&gt;""</formula>
    </cfRule>
  </conditionalFormatting>
  <conditionalFormatting sqref="D240:D241">
    <cfRule type="expression" dxfId="71" priority="367">
      <formula>$B$239&lt;&gt;""</formula>
    </cfRule>
  </conditionalFormatting>
  <conditionalFormatting sqref="D246:D247">
    <cfRule type="expression" dxfId="70" priority="378">
      <formula>$B$245&lt;&gt;""</formula>
    </cfRule>
  </conditionalFormatting>
  <conditionalFormatting sqref="E42:E43">
    <cfRule type="expression" dxfId="69" priority="9">
      <formula>$B$41&lt;&gt;""</formula>
    </cfRule>
  </conditionalFormatting>
  <conditionalFormatting sqref="E48:E49">
    <cfRule type="expression" dxfId="68" priority="20">
      <formula>$B$47&lt;&gt;""</formula>
    </cfRule>
  </conditionalFormatting>
  <conditionalFormatting sqref="E54:E55">
    <cfRule type="expression" dxfId="67" priority="31">
      <formula>$B$53&lt;&gt;""</formula>
    </cfRule>
  </conditionalFormatting>
  <conditionalFormatting sqref="E60:E61">
    <cfRule type="expression" dxfId="66" priority="42">
      <formula>$B$59&lt;&gt;""</formula>
    </cfRule>
  </conditionalFormatting>
  <conditionalFormatting sqref="E66:E67">
    <cfRule type="expression" dxfId="65" priority="53">
      <formula>$B$65&lt;&gt;""</formula>
    </cfRule>
  </conditionalFormatting>
  <conditionalFormatting sqref="E72:E73">
    <cfRule type="expression" dxfId="64" priority="64">
      <formula>$B$71&lt;&gt;""</formula>
    </cfRule>
  </conditionalFormatting>
  <conditionalFormatting sqref="E78:E79">
    <cfRule type="expression" dxfId="63" priority="75">
      <formula>$B$77&lt;&gt;""</formula>
    </cfRule>
  </conditionalFormatting>
  <conditionalFormatting sqref="E84:E85">
    <cfRule type="expression" dxfId="62" priority="86">
      <formula>$B$83&lt;&gt;""</formula>
    </cfRule>
  </conditionalFormatting>
  <conditionalFormatting sqref="E90:E91">
    <cfRule type="expression" dxfId="61" priority="97">
      <formula>$B$89&lt;&gt;""</formula>
    </cfRule>
  </conditionalFormatting>
  <conditionalFormatting sqref="E96:E97">
    <cfRule type="expression" dxfId="60" priority="108">
      <formula>$B$95&lt;&gt;""</formula>
    </cfRule>
  </conditionalFormatting>
  <conditionalFormatting sqref="E102:E103">
    <cfRule type="expression" dxfId="59" priority="119">
      <formula>$B$101&lt;&gt;""</formula>
    </cfRule>
  </conditionalFormatting>
  <conditionalFormatting sqref="E108:E109">
    <cfRule type="expression" dxfId="58" priority="130">
      <formula>$B$107&lt;&gt;""</formula>
    </cfRule>
  </conditionalFormatting>
  <conditionalFormatting sqref="E114:E115">
    <cfRule type="expression" dxfId="57" priority="141">
      <formula>$B$113&lt;&gt;""</formula>
    </cfRule>
  </conditionalFormatting>
  <conditionalFormatting sqref="E120:E121">
    <cfRule type="expression" dxfId="56" priority="152">
      <formula>$B$119&lt;&gt;""</formula>
    </cfRule>
  </conditionalFormatting>
  <conditionalFormatting sqref="E126:E127">
    <cfRule type="expression" dxfId="55" priority="163">
      <formula>$B$125&lt;&gt;""</formula>
    </cfRule>
  </conditionalFormatting>
  <conditionalFormatting sqref="E132:E133">
    <cfRule type="expression" dxfId="54" priority="174">
      <formula>$B$131&lt;&gt;""</formula>
    </cfRule>
  </conditionalFormatting>
  <conditionalFormatting sqref="E138:E139">
    <cfRule type="expression" dxfId="53" priority="185">
      <formula>$B$137&lt;&gt;""</formula>
    </cfRule>
  </conditionalFormatting>
  <conditionalFormatting sqref="E144:E145">
    <cfRule type="expression" dxfId="52" priority="196">
      <formula>$B$143&lt;&gt;""</formula>
    </cfRule>
  </conditionalFormatting>
  <conditionalFormatting sqref="E150:E151">
    <cfRule type="expression" dxfId="51" priority="207">
      <formula>$B$149&lt;&gt;""</formula>
    </cfRule>
  </conditionalFormatting>
  <conditionalFormatting sqref="E156:E157">
    <cfRule type="expression" dxfId="50" priority="218">
      <formula>$B$155&lt;&gt;""</formula>
    </cfRule>
  </conditionalFormatting>
  <conditionalFormatting sqref="E162:E163">
    <cfRule type="expression" dxfId="49" priority="229">
      <formula>$B$161&lt;&gt;""</formula>
    </cfRule>
  </conditionalFormatting>
  <conditionalFormatting sqref="E168:E169">
    <cfRule type="expression" dxfId="48" priority="240">
      <formula>$B$167&lt;&gt;""</formula>
    </cfRule>
  </conditionalFormatting>
  <conditionalFormatting sqref="E174:E175">
    <cfRule type="expression" dxfId="47" priority="251">
      <formula>$B$173&lt;&gt;""</formula>
    </cfRule>
  </conditionalFormatting>
  <conditionalFormatting sqref="E180:E181">
    <cfRule type="expression" dxfId="46" priority="262">
      <formula>$B$179&lt;&gt;""</formula>
    </cfRule>
  </conditionalFormatting>
  <conditionalFormatting sqref="E186:E187">
    <cfRule type="expression" dxfId="45" priority="273">
      <formula>$B$185&lt;&gt;""</formula>
    </cfRule>
  </conditionalFormatting>
  <conditionalFormatting sqref="E192:E193">
    <cfRule type="expression" dxfId="44" priority="284">
      <formula>$B$191&lt;&gt;""</formula>
    </cfRule>
  </conditionalFormatting>
  <conditionalFormatting sqref="E198:E199">
    <cfRule type="expression" dxfId="43" priority="295">
      <formula>$B$197&lt;&gt;""</formula>
    </cfRule>
  </conditionalFormatting>
  <conditionalFormatting sqref="E204:E205">
    <cfRule type="expression" dxfId="42" priority="306">
      <formula>$B$203&lt;&gt;""</formula>
    </cfRule>
  </conditionalFormatting>
  <conditionalFormatting sqref="E210:E211">
    <cfRule type="expression" dxfId="41" priority="317">
      <formula>$B$209&lt;&gt;""</formula>
    </cfRule>
  </conditionalFormatting>
  <conditionalFormatting sqref="E216:E217">
    <cfRule type="expression" dxfId="40" priority="328">
      <formula>$B$215&lt;&gt;""</formula>
    </cfRule>
  </conditionalFormatting>
  <conditionalFormatting sqref="E222:E223">
    <cfRule type="expression" dxfId="39" priority="339">
      <formula>$B$221&lt;&gt;""</formula>
    </cfRule>
  </conditionalFormatting>
  <conditionalFormatting sqref="E228:E229">
    <cfRule type="expression" dxfId="38" priority="350">
      <formula>$B$227&lt;&gt;""</formula>
    </cfRule>
  </conditionalFormatting>
  <conditionalFormatting sqref="E234:E235">
    <cfRule type="expression" dxfId="37" priority="361">
      <formula>$B$233&lt;&gt;""</formula>
    </cfRule>
  </conditionalFormatting>
  <conditionalFormatting sqref="E240:E241">
    <cfRule type="expression" dxfId="36" priority="372">
      <formula>$B$239&lt;&gt;""</formula>
    </cfRule>
  </conditionalFormatting>
  <conditionalFormatting sqref="E246:E247">
    <cfRule type="expression" dxfId="35" priority="383">
      <formula>$B$245&lt;&gt;""</formula>
    </cfRule>
  </conditionalFormatting>
  <dataValidations count="1">
    <dataValidation type="list" allowBlank="1" sqref="C5" xr:uid="{00000000-0002-0000-0100-000000000000}">
      <formula1>_xlfn._LONGTEXT("CHUYÊN NGÀNH CƠ KHÍ NÔNG LÂM,CƠ KHÍ CHẾ BIẾN VÀ BẢO QUẢN NÔNG SẢN THỰC PHẨM,CÔNG NGHỆ KỸ THUẬT CƠ KHÍ - CHƯƠNG TRÌNH NÂNG CAO,CÔNG NGHỆ KỸ THUẬT Ô TÔ,CÔNG NGHỆ KỸ THUẬT CƠ ĐIỆN TỬ,CÔNG NGHỆ KỸ THUẬT NHIỆT,KỸ THUẬT ĐIỀU KHIỂN VÀ TỰ ĐỘNG HÓA,CÔNG NGHỆ KỸ TH","UẬT NĂNG LƯỢNG TÁI TẠO")</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J36"/>
  <sheetViews>
    <sheetView showGridLines="0" workbookViewId="0"/>
  </sheetViews>
  <sheetFormatPr defaultRowHeight="14.5" x14ac:dyDescent="0.35"/>
  <cols>
    <col min="1" max="1" width="12" customWidth="1"/>
    <col min="2" max="2" width="50" customWidth="1"/>
    <col min="3" max="10" width="18" customWidth="1"/>
  </cols>
  <sheetData>
    <row r="2" spans="2:10" ht="25" x14ac:dyDescent="0.7">
      <c r="B2" s="2" t="s">
        <v>485</v>
      </c>
    </row>
    <row r="3" spans="2:10" ht="16" x14ac:dyDescent="0.45">
      <c r="B3" s="3" t="s">
        <v>486</v>
      </c>
    </row>
    <row r="5" spans="2:10" x14ac:dyDescent="0.35">
      <c r="C5" s="33">
        <v>35</v>
      </c>
      <c r="D5" s="34"/>
      <c r="E5" s="33">
        <v>27</v>
      </c>
      <c r="F5" s="34"/>
      <c r="G5" s="33">
        <v>6</v>
      </c>
      <c r="H5" s="34"/>
      <c r="I5" s="33">
        <v>32</v>
      </c>
      <c r="J5" s="34"/>
    </row>
    <row r="6" spans="2:10" x14ac:dyDescent="0.35">
      <c r="C6" s="35" t="s">
        <v>487</v>
      </c>
      <c r="D6" s="34"/>
      <c r="E6" s="35" t="s">
        <v>445</v>
      </c>
      <c r="F6" s="34"/>
      <c r="G6" s="35" t="s">
        <v>446</v>
      </c>
      <c r="H6" s="34"/>
      <c r="I6" s="35" t="s">
        <v>447</v>
      </c>
      <c r="J6" s="34"/>
    </row>
    <row r="9" spans="2:10" ht="17.5" x14ac:dyDescent="0.45">
      <c r="B9" s="6" t="s">
        <v>488</v>
      </c>
      <c r="E9" s="6" t="s">
        <v>489</v>
      </c>
    </row>
    <row r="11" spans="2:10" ht="16" x14ac:dyDescent="0.45">
      <c r="B11" s="7" t="s">
        <v>450</v>
      </c>
      <c r="C11" s="8" t="s">
        <v>490</v>
      </c>
      <c r="E11" s="7" t="s">
        <v>491</v>
      </c>
      <c r="F11" s="8" t="s">
        <v>483</v>
      </c>
      <c r="G11" s="8" t="s">
        <v>492</v>
      </c>
    </row>
    <row r="12" spans="2:10" ht="16" x14ac:dyDescent="0.45">
      <c r="B12" s="9" t="s">
        <v>454</v>
      </c>
      <c r="C12" s="17">
        <v>4.18</v>
      </c>
      <c r="E12" s="9" t="s">
        <v>275</v>
      </c>
      <c r="F12" s="11">
        <v>19</v>
      </c>
      <c r="G12" s="21">
        <f>F12/SUM(F12:F17)</f>
        <v>0.54285714285714282</v>
      </c>
    </row>
    <row r="13" spans="2:10" ht="16" x14ac:dyDescent="0.45">
      <c r="B13" s="12" t="s">
        <v>456</v>
      </c>
      <c r="C13" s="18">
        <v>4.0599999999999996</v>
      </c>
      <c r="E13" s="12" t="s">
        <v>206</v>
      </c>
      <c r="F13" s="14">
        <v>9</v>
      </c>
      <c r="G13" s="22">
        <f>F13/SUM(F12:F17)</f>
        <v>0.25714285714285712</v>
      </c>
    </row>
    <row r="14" spans="2:10" ht="16" x14ac:dyDescent="0.45">
      <c r="B14" s="9" t="s">
        <v>458</v>
      </c>
      <c r="C14" s="17">
        <v>4.3899999999999997</v>
      </c>
      <c r="E14" s="9" t="s">
        <v>175</v>
      </c>
      <c r="F14" s="11">
        <v>2</v>
      </c>
      <c r="G14" s="21">
        <f>F14/SUM(F12:F17)</f>
        <v>5.7142857142857141E-2</v>
      </c>
    </row>
    <row r="15" spans="2:10" ht="16" x14ac:dyDescent="0.45">
      <c r="B15" s="12" t="s">
        <v>460</v>
      </c>
      <c r="C15" s="18">
        <v>4.1500000000000004</v>
      </c>
      <c r="E15" s="12" t="s">
        <v>493</v>
      </c>
      <c r="F15" s="14">
        <v>2</v>
      </c>
      <c r="G15" s="22">
        <f>F15/SUM(F12:F17)</f>
        <v>5.7142857142857141E-2</v>
      </c>
    </row>
    <row r="16" spans="2:10" ht="16" x14ac:dyDescent="0.45">
      <c r="B16" s="9" t="s">
        <v>462</v>
      </c>
      <c r="C16" s="17">
        <v>3.82</v>
      </c>
      <c r="E16" s="9" t="s">
        <v>330</v>
      </c>
      <c r="F16" s="11">
        <v>2</v>
      </c>
      <c r="G16" s="21">
        <f>F16/SUM(F12:F17)</f>
        <v>5.7142857142857141E-2</v>
      </c>
    </row>
    <row r="17" spans="2:7" ht="16" x14ac:dyDescent="0.45">
      <c r="B17" s="12" t="s">
        <v>464</v>
      </c>
      <c r="C17" s="18">
        <v>4.18</v>
      </c>
      <c r="E17" s="12" t="s">
        <v>188</v>
      </c>
      <c r="F17" s="14">
        <v>1</v>
      </c>
      <c r="G17" s="22">
        <f>F17/SUM(F12:F17)</f>
        <v>2.8571428571428571E-2</v>
      </c>
    </row>
    <row r="18" spans="2:7" ht="16" x14ac:dyDescent="0.45">
      <c r="B18" s="9" t="s">
        <v>466</v>
      </c>
      <c r="C18" s="17">
        <v>4.24</v>
      </c>
      <c r="E18" s="15" t="s">
        <v>494</v>
      </c>
      <c r="F18" s="23">
        <f>SUM(F12:F17)</f>
        <v>35</v>
      </c>
      <c r="G18" s="24">
        <f>SUM(G12:G17)</f>
        <v>1</v>
      </c>
    </row>
    <row r="19" spans="2:7" ht="16" x14ac:dyDescent="0.45">
      <c r="B19" s="12" t="s">
        <v>468</v>
      </c>
      <c r="C19" s="18">
        <v>4.09</v>
      </c>
    </row>
    <row r="20" spans="2:7" ht="17.5" x14ac:dyDescent="0.45">
      <c r="B20" s="9" t="s">
        <v>470</v>
      </c>
      <c r="C20" s="17">
        <v>4.28</v>
      </c>
      <c r="E20" s="6" t="s">
        <v>495</v>
      </c>
    </row>
    <row r="21" spans="2:7" ht="16" x14ac:dyDescent="0.45">
      <c r="B21" s="12" t="s">
        <v>472</v>
      </c>
      <c r="C21" s="18">
        <v>4.09</v>
      </c>
    </row>
    <row r="22" spans="2:7" ht="16" x14ac:dyDescent="0.45">
      <c r="B22" s="9" t="s">
        <v>474</v>
      </c>
      <c r="C22" s="17">
        <v>3.94</v>
      </c>
      <c r="E22" s="7" t="s">
        <v>482</v>
      </c>
      <c r="F22" s="8" t="s">
        <v>483</v>
      </c>
      <c r="G22" s="8" t="s">
        <v>492</v>
      </c>
    </row>
    <row r="23" spans="2:7" ht="16" x14ac:dyDescent="0.45">
      <c r="B23" s="12" t="s">
        <v>476</v>
      </c>
      <c r="C23" s="18">
        <v>4.09</v>
      </c>
      <c r="E23" s="9" t="s">
        <v>204</v>
      </c>
      <c r="F23" s="11">
        <v>21</v>
      </c>
      <c r="G23" s="21">
        <f>F23/SUM(F23:F27)</f>
        <v>0.6</v>
      </c>
    </row>
    <row r="24" spans="2:7" ht="16" x14ac:dyDescent="0.45">
      <c r="B24" s="9" t="s">
        <v>478</v>
      </c>
      <c r="C24" s="17">
        <v>4.5199999999999996</v>
      </c>
      <c r="E24" s="12" t="s">
        <v>172</v>
      </c>
      <c r="F24" s="14">
        <v>7</v>
      </c>
      <c r="G24" s="22">
        <f>F24/SUM(F23:F27)</f>
        <v>0.2</v>
      </c>
    </row>
    <row r="25" spans="2:7" ht="16" x14ac:dyDescent="0.45">
      <c r="B25" s="12" t="s">
        <v>479</v>
      </c>
      <c r="C25" s="18">
        <v>4.33</v>
      </c>
      <c r="E25" s="9" t="s">
        <v>235</v>
      </c>
      <c r="F25" s="11">
        <v>3</v>
      </c>
      <c r="G25" s="21">
        <f>F25/SUM(F23:F27)</f>
        <v>8.5714285714285715E-2</v>
      </c>
    </row>
    <row r="26" spans="2:7" ht="16" x14ac:dyDescent="0.45">
      <c r="B26" s="15" t="s">
        <v>480</v>
      </c>
      <c r="C26" s="25">
        <f>AVERAGE(C12:C25)</f>
        <v>4.1685714285714282</v>
      </c>
      <c r="E26" s="12" t="s">
        <v>493</v>
      </c>
      <c r="F26" s="14">
        <v>3</v>
      </c>
      <c r="G26" s="22">
        <f>F26/SUM(F23:F27)</f>
        <v>8.5714285714285715E-2</v>
      </c>
    </row>
    <row r="27" spans="2:7" ht="16" x14ac:dyDescent="0.45">
      <c r="E27" s="9" t="s">
        <v>185</v>
      </c>
      <c r="F27" s="11">
        <v>1</v>
      </c>
      <c r="G27" s="21">
        <f>F27/SUM(F23:F27)</f>
        <v>2.8571428571428571E-2</v>
      </c>
    </row>
    <row r="28" spans="2:7" ht="17.5" x14ac:dyDescent="0.45">
      <c r="B28" s="6" t="s">
        <v>496</v>
      </c>
      <c r="E28" s="15" t="s">
        <v>494</v>
      </c>
      <c r="F28" s="23">
        <f>SUM(F23:F27)</f>
        <v>35</v>
      </c>
      <c r="G28" s="24">
        <f>SUM(G23:G27)</f>
        <v>1</v>
      </c>
    </row>
    <row r="30" spans="2:7" ht="16" x14ac:dyDescent="0.45">
      <c r="B30" s="7" t="s">
        <v>497</v>
      </c>
      <c r="C30" s="8" t="s">
        <v>170</v>
      </c>
      <c r="D30" s="8" t="s">
        <v>498</v>
      </c>
      <c r="E30" s="8" t="s">
        <v>499</v>
      </c>
    </row>
    <row r="31" spans="2:7" ht="16" x14ac:dyDescent="0.45">
      <c r="B31" s="9" t="s">
        <v>454</v>
      </c>
      <c r="C31" s="26">
        <v>0.4375</v>
      </c>
      <c r="D31" s="26">
        <v>0.5</v>
      </c>
      <c r="E31" s="26">
        <v>6.25E-2</v>
      </c>
    </row>
    <row r="32" spans="2:7" ht="16" x14ac:dyDescent="0.45">
      <c r="B32" s="12" t="s">
        <v>460</v>
      </c>
      <c r="C32" s="27">
        <v>0.34375</v>
      </c>
      <c r="D32" s="27">
        <v>0.625</v>
      </c>
      <c r="E32" s="27">
        <v>3.125E-2</v>
      </c>
    </row>
    <row r="33" spans="2:5" ht="16" x14ac:dyDescent="0.45">
      <c r="B33" s="9" t="s">
        <v>500</v>
      </c>
      <c r="C33" s="26">
        <v>0.72727272727272729</v>
      </c>
      <c r="D33" s="26">
        <v>0.2424242424242424</v>
      </c>
      <c r="E33" s="26">
        <v>3.03030303030303E-2</v>
      </c>
    </row>
    <row r="34" spans="2:5" ht="16" x14ac:dyDescent="0.45">
      <c r="B34" s="12" t="s">
        <v>464</v>
      </c>
      <c r="C34" s="27">
        <v>0.5757575757575758</v>
      </c>
      <c r="D34" s="27">
        <v>0.39393939393939392</v>
      </c>
      <c r="E34" s="27">
        <v>3.03030303030303E-2</v>
      </c>
    </row>
    <row r="35" spans="2:5" ht="16" x14ac:dyDescent="0.45">
      <c r="B35" s="9" t="s">
        <v>501</v>
      </c>
      <c r="C35" s="26">
        <v>0.45454545454545447</v>
      </c>
      <c r="D35" s="26">
        <v>0.54545454545454541</v>
      </c>
      <c r="E35" s="26">
        <v>0</v>
      </c>
    </row>
    <row r="36" spans="2:5" ht="16" x14ac:dyDescent="0.45">
      <c r="B36" s="12" t="s">
        <v>502</v>
      </c>
      <c r="C36" s="27">
        <v>0.55172413793103448</v>
      </c>
      <c r="D36" s="27">
        <v>0.41379310344827591</v>
      </c>
      <c r="E36" s="27">
        <v>3.4482758620689648E-2</v>
      </c>
    </row>
  </sheetData>
  <mergeCells count="8">
    <mergeCell ref="E6:F6"/>
    <mergeCell ref="C6:D6"/>
    <mergeCell ref="I6:J6"/>
    <mergeCell ref="C5:D5"/>
    <mergeCell ref="G5:H5"/>
    <mergeCell ref="E5:F5"/>
    <mergeCell ref="I5:J5"/>
    <mergeCell ref="G6:H6"/>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DongBoDuLieu">
                <anchor moveWithCells="1" sizeWithCells="1">
                  <from>
                    <xdr:col>10</xdr:col>
                    <xdr:colOff>63500</xdr:colOff>
                    <xdr:row>4</xdr:row>
                    <xdr:rowOff>63500</xdr:rowOff>
                  </from>
                  <to>
                    <xdr:col>13</xdr:col>
                    <xdr:colOff>12700</xdr:colOff>
                    <xdr:row>6</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AF19"/>
  <sheetViews>
    <sheetView showGridLines="0" workbookViewId="0"/>
  </sheetViews>
  <sheetFormatPr defaultRowHeight="14.5" x14ac:dyDescent="0.35"/>
  <cols>
    <col min="1" max="1" width="4" customWidth="1"/>
    <col min="2" max="2" width="15" customWidth="1"/>
    <col min="3" max="3" width="14" customWidth="1"/>
    <col min="4" max="4" width="18" customWidth="1"/>
    <col min="5" max="5" width="4" customWidth="1"/>
    <col min="6" max="6" width="15" customWidth="1"/>
    <col min="7" max="7" width="14" customWidth="1"/>
    <col min="8" max="8" width="18" customWidth="1"/>
    <col min="9" max="9" width="4" customWidth="1"/>
    <col min="10" max="10" width="15" customWidth="1"/>
    <col min="11" max="11" width="14" customWidth="1"/>
    <col min="12" max="12" width="18" customWidth="1"/>
    <col min="13" max="13" width="4" customWidth="1"/>
    <col min="14" max="14" width="15" customWidth="1"/>
    <col min="15" max="15" width="14" customWidth="1"/>
    <col min="16" max="16" width="18" customWidth="1"/>
    <col min="17" max="17" width="4" customWidth="1"/>
    <col min="18" max="18" width="15" customWidth="1"/>
    <col min="19" max="19" width="14" customWidth="1"/>
    <col min="20" max="20" width="18" customWidth="1"/>
    <col min="21" max="21" width="4" customWidth="1"/>
    <col min="22" max="22" width="15" customWidth="1"/>
    <col min="23" max="23" width="14" customWidth="1"/>
    <col min="24" max="24" width="18" customWidth="1"/>
    <col min="25" max="25" width="4" customWidth="1"/>
    <col min="26" max="26" width="15" customWidth="1"/>
    <col min="27" max="27" width="14" customWidth="1"/>
    <col min="28" max="28" width="18" customWidth="1"/>
    <col min="29" max="29" width="4" customWidth="1"/>
    <col min="30" max="30" width="15" customWidth="1"/>
    <col min="31" max="31" width="14" customWidth="1"/>
    <col min="32" max="32" width="18" customWidth="1"/>
  </cols>
  <sheetData>
    <row r="2" spans="2:32" ht="25" x14ac:dyDescent="0.7">
      <c r="B2" s="2" t="s">
        <v>503</v>
      </c>
    </row>
    <row r="3" spans="2:32" ht="16" x14ac:dyDescent="0.45">
      <c r="B3" s="3" t="s">
        <v>504</v>
      </c>
    </row>
    <row r="6" spans="2:32" ht="17.5" x14ac:dyDescent="0.45">
      <c r="B6" s="36" t="s">
        <v>505</v>
      </c>
      <c r="C6" s="31"/>
      <c r="D6" s="31"/>
      <c r="F6" s="36" t="s">
        <v>506</v>
      </c>
      <c r="G6" s="31"/>
      <c r="H6" s="31"/>
      <c r="J6" s="36" t="s">
        <v>507</v>
      </c>
      <c r="K6" s="31"/>
      <c r="L6" s="31"/>
      <c r="N6" s="36" t="s">
        <v>508</v>
      </c>
      <c r="O6" s="31"/>
      <c r="P6" s="31"/>
      <c r="R6" s="36" t="s">
        <v>509</v>
      </c>
      <c r="S6" s="31"/>
      <c r="T6" s="31"/>
      <c r="V6" s="36" t="s">
        <v>510</v>
      </c>
      <c r="W6" s="31"/>
      <c r="X6" s="31"/>
      <c r="Z6" s="36" t="s">
        <v>511</v>
      </c>
      <c r="AA6" s="31"/>
      <c r="AB6" s="31"/>
      <c r="AD6" s="36" t="s">
        <v>512</v>
      </c>
      <c r="AE6" s="31"/>
      <c r="AF6" s="31"/>
    </row>
    <row r="7" spans="2:32" ht="16" x14ac:dyDescent="0.35">
      <c r="B7" s="8" t="s">
        <v>452</v>
      </c>
      <c r="C7" s="8" t="s">
        <v>186</v>
      </c>
      <c r="D7" s="8" t="s">
        <v>513</v>
      </c>
      <c r="F7" s="8" t="s">
        <v>452</v>
      </c>
      <c r="G7" s="8" t="s">
        <v>186</v>
      </c>
      <c r="H7" s="8" t="s">
        <v>513</v>
      </c>
      <c r="J7" s="8" t="s">
        <v>452</v>
      </c>
      <c r="K7" s="8" t="s">
        <v>186</v>
      </c>
      <c r="L7" s="8" t="s">
        <v>513</v>
      </c>
      <c r="N7" s="8" t="s">
        <v>452</v>
      </c>
      <c r="O7" s="8" t="s">
        <v>186</v>
      </c>
      <c r="P7" s="8" t="s">
        <v>513</v>
      </c>
      <c r="R7" s="8" t="s">
        <v>452</v>
      </c>
      <c r="S7" s="8" t="s">
        <v>186</v>
      </c>
      <c r="T7" s="8" t="s">
        <v>513</v>
      </c>
      <c r="V7" s="8" t="s">
        <v>452</v>
      </c>
      <c r="W7" s="8" t="s">
        <v>186</v>
      </c>
      <c r="X7" s="8" t="s">
        <v>513</v>
      </c>
      <c r="Z7" s="8" t="s">
        <v>452</v>
      </c>
      <c r="AA7" s="8" t="s">
        <v>186</v>
      </c>
      <c r="AB7" s="8" t="s">
        <v>513</v>
      </c>
      <c r="AD7" s="8" t="s">
        <v>452</v>
      </c>
      <c r="AE7" s="8" t="s">
        <v>186</v>
      </c>
      <c r="AF7" s="8" t="s">
        <v>513</v>
      </c>
    </row>
    <row r="8" spans="2:32" ht="16" x14ac:dyDescent="0.35">
      <c r="B8" s="11" t="s">
        <v>455</v>
      </c>
      <c r="C8" s="17">
        <v>2.5</v>
      </c>
      <c r="D8" s="11">
        <v>2</v>
      </c>
      <c r="F8" s="11" t="s">
        <v>455</v>
      </c>
      <c r="G8" s="17" t="s">
        <v>514</v>
      </c>
      <c r="H8" s="11">
        <v>0</v>
      </c>
      <c r="J8" s="11" t="s">
        <v>455</v>
      </c>
      <c r="K8" s="17">
        <v>4</v>
      </c>
      <c r="L8" s="11">
        <v>1</v>
      </c>
      <c r="N8" s="11" t="s">
        <v>455</v>
      </c>
      <c r="O8" s="17" t="s">
        <v>514</v>
      </c>
      <c r="P8" s="11">
        <v>0</v>
      </c>
      <c r="R8" s="11" t="s">
        <v>455</v>
      </c>
      <c r="S8" s="17">
        <v>4.53</v>
      </c>
      <c r="T8" s="11">
        <v>19</v>
      </c>
      <c r="V8" s="11" t="s">
        <v>455</v>
      </c>
      <c r="W8" s="17">
        <v>4</v>
      </c>
      <c r="X8" s="11">
        <v>1</v>
      </c>
      <c r="Z8" s="11" t="s">
        <v>455</v>
      </c>
      <c r="AA8" s="17">
        <v>4.22</v>
      </c>
      <c r="AB8" s="11">
        <v>9</v>
      </c>
      <c r="AD8" s="11" t="s">
        <v>455</v>
      </c>
      <c r="AE8" s="17" t="s">
        <v>514</v>
      </c>
      <c r="AF8" s="11">
        <v>0</v>
      </c>
    </row>
    <row r="9" spans="2:32" ht="16" x14ac:dyDescent="0.35">
      <c r="B9" s="14" t="s">
        <v>457</v>
      </c>
      <c r="C9" s="18">
        <v>2.5</v>
      </c>
      <c r="D9" s="14">
        <v>2</v>
      </c>
      <c r="F9" s="14" t="s">
        <v>457</v>
      </c>
      <c r="G9" s="18" t="s">
        <v>514</v>
      </c>
      <c r="H9" s="14">
        <v>0</v>
      </c>
      <c r="J9" s="14" t="s">
        <v>457</v>
      </c>
      <c r="K9" s="18">
        <v>4</v>
      </c>
      <c r="L9" s="14">
        <v>1</v>
      </c>
      <c r="N9" s="14" t="s">
        <v>457</v>
      </c>
      <c r="O9" s="18" t="s">
        <v>514</v>
      </c>
      <c r="P9" s="14">
        <v>0</v>
      </c>
      <c r="R9" s="14" t="s">
        <v>457</v>
      </c>
      <c r="S9" s="18">
        <v>4.42</v>
      </c>
      <c r="T9" s="14">
        <v>19</v>
      </c>
      <c r="V9" s="14" t="s">
        <v>457</v>
      </c>
      <c r="W9" s="18">
        <v>4</v>
      </c>
      <c r="X9" s="14">
        <v>1</v>
      </c>
      <c r="Z9" s="14" t="s">
        <v>457</v>
      </c>
      <c r="AA9" s="18">
        <v>3.44</v>
      </c>
      <c r="AB9" s="14">
        <v>9</v>
      </c>
      <c r="AD9" s="14" t="s">
        <v>457</v>
      </c>
      <c r="AE9" s="18" t="s">
        <v>514</v>
      </c>
      <c r="AF9" s="14">
        <v>0</v>
      </c>
    </row>
    <row r="10" spans="2:32" ht="16" x14ac:dyDescent="0.35">
      <c r="B10" s="11" t="s">
        <v>459</v>
      </c>
      <c r="C10" s="17">
        <v>2.5</v>
      </c>
      <c r="D10" s="11">
        <v>2</v>
      </c>
      <c r="F10" s="11" t="s">
        <v>459</v>
      </c>
      <c r="G10" s="17" t="s">
        <v>514</v>
      </c>
      <c r="H10" s="11">
        <v>0</v>
      </c>
      <c r="J10" s="11" t="s">
        <v>459</v>
      </c>
      <c r="K10" s="17">
        <v>4</v>
      </c>
      <c r="L10" s="11">
        <v>1</v>
      </c>
      <c r="N10" s="11" t="s">
        <v>459</v>
      </c>
      <c r="O10" s="17" t="s">
        <v>514</v>
      </c>
      <c r="P10" s="11">
        <v>0</v>
      </c>
      <c r="R10" s="11" t="s">
        <v>459</v>
      </c>
      <c r="S10" s="17">
        <v>4.58</v>
      </c>
      <c r="T10" s="11">
        <v>19</v>
      </c>
      <c r="V10" s="11" t="s">
        <v>459</v>
      </c>
      <c r="W10" s="17">
        <v>4</v>
      </c>
      <c r="X10" s="11">
        <v>2</v>
      </c>
      <c r="Z10" s="11" t="s">
        <v>459</v>
      </c>
      <c r="AA10" s="17">
        <v>4.1100000000000003</v>
      </c>
      <c r="AB10" s="11">
        <v>9</v>
      </c>
      <c r="AD10" s="11" t="s">
        <v>459</v>
      </c>
      <c r="AE10" s="17" t="s">
        <v>514</v>
      </c>
      <c r="AF10" s="11">
        <v>0</v>
      </c>
    </row>
    <row r="11" spans="2:32" ht="16" x14ac:dyDescent="0.35">
      <c r="B11" s="14" t="s">
        <v>461</v>
      </c>
      <c r="C11" s="18">
        <v>2.5</v>
      </c>
      <c r="D11" s="14">
        <v>2</v>
      </c>
      <c r="F11" s="14" t="s">
        <v>461</v>
      </c>
      <c r="G11" s="18" t="s">
        <v>514</v>
      </c>
      <c r="H11" s="14">
        <v>0</v>
      </c>
      <c r="J11" s="14" t="s">
        <v>461</v>
      </c>
      <c r="K11" s="18">
        <v>4</v>
      </c>
      <c r="L11" s="14">
        <v>1</v>
      </c>
      <c r="N11" s="14" t="s">
        <v>461</v>
      </c>
      <c r="O11" s="18" t="s">
        <v>514</v>
      </c>
      <c r="P11" s="14">
        <v>0</v>
      </c>
      <c r="R11" s="14" t="s">
        <v>461</v>
      </c>
      <c r="S11" s="18">
        <v>4.47</v>
      </c>
      <c r="T11" s="14">
        <v>19</v>
      </c>
      <c r="V11" s="14" t="s">
        <v>461</v>
      </c>
      <c r="W11" s="18">
        <v>4</v>
      </c>
      <c r="X11" s="14">
        <v>2</v>
      </c>
      <c r="Z11" s="14" t="s">
        <v>461</v>
      </c>
      <c r="AA11" s="18">
        <v>3.89</v>
      </c>
      <c r="AB11" s="14">
        <v>9</v>
      </c>
      <c r="AD11" s="14" t="s">
        <v>461</v>
      </c>
      <c r="AE11" s="18" t="s">
        <v>514</v>
      </c>
      <c r="AF11" s="14">
        <v>0</v>
      </c>
    </row>
    <row r="12" spans="2:32" ht="16" x14ac:dyDescent="0.35">
      <c r="B12" s="11" t="s">
        <v>463</v>
      </c>
      <c r="C12" s="17">
        <v>2.5</v>
      </c>
      <c r="D12" s="11">
        <v>2</v>
      </c>
      <c r="F12" s="11" t="s">
        <v>463</v>
      </c>
      <c r="G12" s="17" t="s">
        <v>514</v>
      </c>
      <c r="H12" s="11">
        <v>0</v>
      </c>
      <c r="J12" s="11" t="s">
        <v>463</v>
      </c>
      <c r="K12" s="17">
        <v>3</v>
      </c>
      <c r="L12" s="11">
        <v>1</v>
      </c>
      <c r="N12" s="11" t="s">
        <v>463</v>
      </c>
      <c r="O12" s="17" t="s">
        <v>514</v>
      </c>
      <c r="P12" s="11">
        <v>0</v>
      </c>
      <c r="R12" s="11" t="s">
        <v>463</v>
      </c>
      <c r="S12" s="17">
        <v>4.42</v>
      </c>
      <c r="T12" s="11">
        <v>19</v>
      </c>
      <c r="V12" s="11" t="s">
        <v>463</v>
      </c>
      <c r="W12" s="17">
        <v>4</v>
      </c>
      <c r="X12" s="11">
        <v>2</v>
      </c>
      <c r="Z12" s="11" t="s">
        <v>463</v>
      </c>
      <c r="AA12" s="17">
        <v>3.78</v>
      </c>
      <c r="AB12" s="11">
        <v>9</v>
      </c>
      <c r="AD12" s="11" t="s">
        <v>463</v>
      </c>
      <c r="AE12" s="17" t="s">
        <v>514</v>
      </c>
      <c r="AF12" s="11">
        <v>0</v>
      </c>
    </row>
    <row r="13" spans="2:32" ht="16" x14ac:dyDescent="0.35">
      <c r="B13" s="14" t="s">
        <v>465</v>
      </c>
      <c r="C13" s="18">
        <v>4.5</v>
      </c>
      <c r="D13" s="14">
        <v>2</v>
      </c>
      <c r="F13" s="14" t="s">
        <v>465</v>
      </c>
      <c r="G13" s="18" t="s">
        <v>514</v>
      </c>
      <c r="H13" s="14">
        <v>0</v>
      </c>
      <c r="J13" s="14" t="s">
        <v>465</v>
      </c>
      <c r="K13" s="18">
        <v>4</v>
      </c>
      <c r="L13" s="14">
        <v>1</v>
      </c>
      <c r="N13" s="14" t="s">
        <v>465</v>
      </c>
      <c r="O13" s="18" t="s">
        <v>514</v>
      </c>
      <c r="P13" s="14">
        <v>0</v>
      </c>
      <c r="R13" s="14" t="s">
        <v>465</v>
      </c>
      <c r="S13" s="18">
        <v>4.53</v>
      </c>
      <c r="T13" s="14">
        <v>19</v>
      </c>
      <c r="V13" s="14" t="s">
        <v>465</v>
      </c>
      <c r="W13" s="18">
        <v>4</v>
      </c>
      <c r="X13" s="14">
        <v>2</v>
      </c>
      <c r="Z13" s="14" t="s">
        <v>465</v>
      </c>
      <c r="AA13" s="18">
        <v>3.78</v>
      </c>
      <c r="AB13" s="14">
        <v>9</v>
      </c>
      <c r="AD13" s="14" t="s">
        <v>465</v>
      </c>
      <c r="AE13" s="18" t="s">
        <v>514</v>
      </c>
      <c r="AF13" s="14">
        <v>0</v>
      </c>
    </row>
    <row r="14" spans="2:32" ht="16" x14ac:dyDescent="0.35">
      <c r="B14" s="11" t="s">
        <v>467</v>
      </c>
      <c r="C14" s="17">
        <v>4.5</v>
      </c>
      <c r="D14" s="11">
        <v>2</v>
      </c>
      <c r="F14" s="11" t="s">
        <v>467</v>
      </c>
      <c r="G14" s="17" t="s">
        <v>514</v>
      </c>
      <c r="H14" s="11">
        <v>0</v>
      </c>
      <c r="J14" s="11" t="s">
        <v>467</v>
      </c>
      <c r="K14" s="17">
        <v>4</v>
      </c>
      <c r="L14" s="11">
        <v>1</v>
      </c>
      <c r="N14" s="11" t="s">
        <v>467</v>
      </c>
      <c r="O14" s="17" t="s">
        <v>514</v>
      </c>
      <c r="P14" s="11">
        <v>0</v>
      </c>
      <c r="R14" s="11" t="s">
        <v>467</v>
      </c>
      <c r="S14" s="17">
        <v>4.37</v>
      </c>
      <c r="T14" s="11">
        <v>19</v>
      </c>
      <c r="V14" s="11" t="s">
        <v>467</v>
      </c>
      <c r="W14" s="17">
        <v>4</v>
      </c>
      <c r="X14" s="11">
        <v>2</v>
      </c>
      <c r="Z14" s="11" t="s">
        <v>467</v>
      </c>
      <c r="AA14" s="17">
        <v>4.22</v>
      </c>
      <c r="AB14" s="11">
        <v>9</v>
      </c>
      <c r="AD14" s="11" t="s">
        <v>467</v>
      </c>
      <c r="AE14" s="17" t="s">
        <v>514</v>
      </c>
      <c r="AF14" s="11">
        <v>0</v>
      </c>
    </row>
    <row r="15" spans="2:32" ht="16" x14ac:dyDescent="0.35">
      <c r="B15" s="14" t="s">
        <v>469</v>
      </c>
      <c r="C15" s="18">
        <v>2.5</v>
      </c>
      <c r="D15" s="14">
        <v>2</v>
      </c>
      <c r="F15" s="14" t="s">
        <v>469</v>
      </c>
      <c r="G15" s="18" t="s">
        <v>514</v>
      </c>
      <c r="H15" s="14">
        <v>0</v>
      </c>
      <c r="J15" s="14" t="s">
        <v>469</v>
      </c>
      <c r="K15" s="18">
        <v>4</v>
      </c>
      <c r="L15" s="14">
        <v>1</v>
      </c>
      <c r="N15" s="14" t="s">
        <v>469</v>
      </c>
      <c r="O15" s="18" t="s">
        <v>514</v>
      </c>
      <c r="P15" s="14">
        <v>0</v>
      </c>
      <c r="R15" s="14" t="s">
        <v>469</v>
      </c>
      <c r="S15" s="18">
        <v>4.42</v>
      </c>
      <c r="T15" s="14">
        <v>19</v>
      </c>
      <c r="V15" s="14" t="s">
        <v>469</v>
      </c>
      <c r="W15" s="18">
        <v>4</v>
      </c>
      <c r="X15" s="14">
        <v>2</v>
      </c>
      <c r="Z15" s="14" t="s">
        <v>469</v>
      </c>
      <c r="AA15" s="18">
        <v>4.1100000000000003</v>
      </c>
      <c r="AB15" s="14">
        <v>9</v>
      </c>
      <c r="AD15" s="14" t="s">
        <v>469</v>
      </c>
      <c r="AE15" s="18" t="s">
        <v>514</v>
      </c>
      <c r="AF15" s="14">
        <v>0</v>
      </c>
    </row>
    <row r="16" spans="2:32" ht="16" x14ac:dyDescent="0.35">
      <c r="B16" s="11" t="s">
        <v>471</v>
      </c>
      <c r="C16" s="17">
        <v>2.5</v>
      </c>
      <c r="D16" s="11">
        <v>2</v>
      </c>
      <c r="F16" s="11" t="s">
        <v>471</v>
      </c>
      <c r="G16" s="17" t="s">
        <v>514</v>
      </c>
      <c r="H16" s="11">
        <v>0</v>
      </c>
      <c r="J16" s="11" t="s">
        <v>471</v>
      </c>
      <c r="K16" s="17">
        <v>3</v>
      </c>
      <c r="L16" s="11">
        <v>1</v>
      </c>
      <c r="N16" s="11" t="s">
        <v>471</v>
      </c>
      <c r="O16" s="17" t="s">
        <v>514</v>
      </c>
      <c r="P16" s="11">
        <v>0</v>
      </c>
      <c r="R16" s="11" t="s">
        <v>471</v>
      </c>
      <c r="S16" s="17">
        <v>4.58</v>
      </c>
      <c r="T16" s="11">
        <v>19</v>
      </c>
      <c r="V16" s="11" t="s">
        <v>471</v>
      </c>
      <c r="W16" s="17">
        <v>4</v>
      </c>
      <c r="X16" s="11">
        <v>2</v>
      </c>
      <c r="Z16" s="11" t="s">
        <v>471</v>
      </c>
      <c r="AA16" s="17">
        <v>4.1100000000000003</v>
      </c>
      <c r="AB16" s="11">
        <v>9</v>
      </c>
      <c r="AD16" s="11" t="s">
        <v>471</v>
      </c>
      <c r="AE16" s="17" t="s">
        <v>514</v>
      </c>
      <c r="AF16" s="11">
        <v>0</v>
      </c>
    </row>
    <row r="17" spans="2:32" ht="16" x14ac:dyDescent="0.35">
      <c r="B17" s="14" t="s">
        <v>473</v>
      </c>
      <c r="C17" s="18">
        <v>2.5</v>
      </c>
      <c r="D17" s="14">
        <v>2</v>
      </c>
      <c r="F17" s="14" t="s">
        <v>473</v>
      </c>
      <c r="G17" s="18" t="s">
        <v>514</v>
      </c>
      <c r="H17" s="14">
        <v>0</v>
      </c>
      <c r="J17" s="14" t="s">
        <v>473</v>
      </c>
      <c r="K17" s="18">
        <v>3</v>
      </c>
      <c r="L17" s="14">
        <v>1</v>
      </c>
      <c r="N17" s="14" t="s">
        <v>473</v>
      </c>
      <c r="O17" s="18" t="s">
        <v>514</v>
      </c>
      <c r="P17" s="14">
        <v>0</v>
      </c>
      <c r="R17" s="14" t="s">
        <v>473</v>
      </c>
      <c r="S17" s="18">
        <v>4.26</v>
      </c>
      <c r="T17" s="14">
        <v>19</v>
      </c>
      <c r="V17" s="14" t="s">
        <v>473</v>
      </c>
      <c r="W17" s="18">
        <v>4</v>
      </c>
      <c r="X17" s="14">
        <v>1</v>
      </c>
      <c r="Z17" s="14" t="s">
        <v>473</v>
      </c>
      <c r="AA17" s="18">
        <v>4.22</v>
      </c>
      <c r="AB17" s="14">
        <v>9</v>
      </c>
      <c r="AD17" s="14" t="s">
        <v>473</v>
      </c>
      <c r="AE17" s="18" t="s">
        <v>514</v>
      </c>
      <c r="AF17" s="14">
        <v>0</v>
      </c>
    </row>
    <row r="18" spans="2:32" ht="16" x14ac:dyDescent="0.35">
      <c r="B18" s="11" t="s">
        <v>475</v>
      </c>
      <c r="C18" s="17">
        <v>2.5</v>
      </c>
      <c r="D18" s="11">
        <v>2</v>
      </c>
      <c r="F18" s="11" t="s">
        <v>475</v>
      </c>
      <c r="G18" s="17" t="s">
        <v>514</v>
      </c>
      <c r="H18" s="11">
        <v>0</v>
      </c>
      <c r="J18" s="11" t="s">
        <v>475</v>
      </c>
      <c r="K18" s="17">
        <v>4</v>
      </c>
      <c r="L18" s="11">
        <v>1</v>
      </c>
      <c r="N18" s="11" t="s">
        <v>475</v>
      </c>
      <c r="O18" s="17" t="s">
        <v>514</v>
      </c>
      <c r="P18" s="11">
        <v>0</v>
      </c>
      <c r="R18" s="11" t="s">
        <v>475</v>
      </c>
      <c r="S18" s="17">
        <v>4.63</v>
      </c>
      <c r="T18" s="11">
        <v>19</v>
      </c>
      <c r="V18" s="11" t="s">
        <v>475</v>
      </c>
      <c r="W18" s="17">
        <v>4</v>
      </c>
      <c r="X18" s="11">
        <v>2</v>
      </c>
      <c r="Z18" s="11" t="s">
        <v>475</v>
      </c>
      <c r="AA18" s="17">
        <v>3.44</v>
      </c>
      <c r="AB18" s="11">
        <v>9</v>
      </c>
      <c r="AD18" s="11" t="s">
        <v>475</v>
      </c>
      <c r="AE18" s="17" t="s">
        <v>514</v>
      </c>
      <c r="AF18" s="11">
        <v>0</v>
      </c>
    </row>
    <row r="19" spans="2:32" ht="16" x14ac:dyDescent="0.35">
      <c r="B19" s="14" t="s">
        <v>477</v>
      </c>
      <c r="C19" s="18">
        <v>3.5</v>
      </c>
      <c r="D19" s="14">
        <v>2</v>
      </c>
      <c r="F19" s="14" t="s">
        <v>477</v>
      </c>
      <c r="G19" s="18" t="s">
        <v>514</v>
      </c>
      <c r="H19" s="14">
        <v>0</v>
      </c>
      <c r="J19" s="14" t="s">
        <v>477</v>
      </c>
      <c r="K19" s="18">
        <v>3</v>
      </c>
      <c r="L19" s="14">
        <v>1</v>
      </c>
      <c r="N19" s="14" t="s">
        <v>477</v>
      </c>
      <c r="O19" s="18" t="s">
        <v>514</v>
      </c>
      <c r="P19" s="14">
        <v>0</v>
      </c>
      <c r="R19" s="14" t="s">
        <v>477</v>
      </c>
      <c r="S19" s="18">
        <v>4.37</v>
      </c>
      <c r="T19" s="14">
        <v>19</v>
      </c>
      <c r="V19" s="14" t="s">
        <v>477</v>
      </c>
      <c r="W19" s="18">
        <v>4</v>
      </c>
      <c r="X19" s="14">
        <v>1</v>
      </c>
      <c r="Z19" s="14" t="s">
        <v>477</v>
      </c>
      <c r="AA19" s="18">
        <v>3.44</v>
      </c>
      <c r="AB19" s="14">
        <v>9</v>
      </c>
      <c r="AD19" s="14" t="s">
        <v>477</v>
      </c>
      <c r="AE19" s="18" t="s">
        <v>514</v>
      </c>
      <c r="AF19" s="14">
        <v>0</v>
      </c>
    </row>
  </sheetData>
  <mergeCells count="8">
    <mergeCell ref="B6:D6"/>
    <mergeCell ref="N6:P6"/>
    <mergeCell ref="R6:T6"/>
    <mergeCell ref="J6:L6"/>
    <mergeCell ref="F6:H6"/>
    <mergeCell ref="AD6:AF6"/>
    <mergeCell ref="V6:X6"/>
    <mergeCell ref="Z6:AB6"/>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H42"/>
  <sheetViews>
    <sheetView showGridLines="0" workbookViewId="0"/>
  </sheetViews>
  <sheetFormatPr defaultRowHeight="14.5" x14ac:dyDescent="0.35"/>
  <cols>
    <col min="1" max="1" width="10" customWidth="1"/>
    <col min="2" max="2" width="30" customWidth="1"/>
    <col min="3" max="6" width="25" customWidth="1"/>
    <col min="7" max="8" width="35" customWidth="1"/>
  </cols>
  <sheetData>
    <row r="2" spans="2:8" ht="25" x14ac:dyDescent="0.7">
      <c r="B2" s="2" t="s">
        <v>515</v>
      </c>
    </row>
    <row r="3" spans="2:8" ht="16" x14ac:dyDescent="0.45">
      <c r="B3" s="3" t="s">
        <v>516</v>
      </c>
    </row>
    <row r="5" spans="2:8" ht="16.5" x14ac:dyDescent="0.45">
      <c r="B5" s="4" t="s">
        <v>517</v>
      </c>
      <c r="C5" s="5" t="str">
        <f>'Bộ lọc theo Ngành'!$C$5</f>
        <v>CHUYÊN NGÀNH CƠ KHÍ NÔNG LÂM</v>
      </c>
    </row>
    <row r="7" spans="2:8" ht="16" x14ac:dyDescent="0.35">
      <c r="B7" s="28" t="s">
        <v>498</v>
      </c>
      <c r="C7" s="8" t="s">
        <v>518</v>
      </c>
      <c r="D7" s="8" t="s">
        <v>519</v>
      </c>
      <c r="E7" s="8" t="s">
        <v>520</v>
      </c>
      <c r="F7" s="8" t="s">
        <v>521</v>
      </c>
      <c r="G7" s="8" t="s">
        <v>522</v>
      </c>
      <c r="H7" s="8" t="s">
        <v>523</v>
      </c>
    </row>
    <row r="8" spans="2:8" ht="45" customHeight="1" x14ac:dyDescent="0.35">
      <c r="B8" s="29" t="str">
        <f>IF(ISERROR(MATCH(1, Data_Source!$A$2:$A$100, 0)), "", IFERROR(VLOOKUP(1, Data_Source!$A$2:$FC$100, 3, FALSE) &amp; "", ""))</f>
        <v>Công ty TNHH Trang Thiết Bị Y Tế Phước Tiến</v>
      </c>
      <c r="C8" s="29" t="str">
        <f>IF(B8="","", IFERROR(IF(OR(VLOOKUP(1, Data_Source!$A$2:$FC$100, 28, FALSE)="", VLOOKUP(1, Data_Source!$A$2:$FC$100, 28, FALSE)=0), "None", VLOOKUP(1, Data_Source!$A$2:$FC$100, 28, FALSE) &amp; ""), ""))</f>
        <v>None</v>
      </c>
      <c r="D8" s="29" t="str">
        <f>IF(B8="","", IFERROR(IF(OR(VLOOKUP(1, Data_Source!$A$2:$FC$100, 29, FALSE)="", VLOOKUP(1, Data_Source!$A$2:$FC$100, 29, FALSE)=0), "None", VLOOKUP(1, Data_Source!$A$2:$FC$100, 29, FALSE) &amp; ""), ""))</f>
        <v>None</v>
      </c>
      <c r="E8" s="29" t="str">
        <f>IF(B8="","", IFERROR(IF(OR(VLOOKUP(1, Data_Source!$A$2:$FC$100, 157, FALSE)="", VLOOKUP(1, Data_Source!$A$2:$FC$100, 157, FALSE)=0), "None", VLOOKUP(1, Data_Source!$A$2:$FC$100, 157, FALSE) &amp; ""), ""))</f>
        <v>None</v>
      </c>
      <c r="F8" s="29" t="str">
        <f>IF(B8="","", IFERROR(IF(OR(VLOOKUP(1, Data_Source!$A$2:$FC$100, 158, FALSE)="", VLOOKUP(1, Data_Source!$A$2:$FC$100, 158, FALSE)=0), "None", VLOOKUP(1, Data_Source!$A$2:$FC$100, 158, FALSE) &amp; ""), ""))</f>
        <v>None</v>
      </c>
      <c r="G8" s="29" t="str">
        <f>IF(B8="","", IFERROR(IF(OR(VLOOKUP(1,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None</v>
      </c>
      <c r="H8" s="29" t="str">
        <f>IF(B8="","", IFERROR(IF(OR(VLOOKUP(1, Data_Source!$A$2:$FC$100, 159, FALSE)="", VLOOKUP(1, Data_Source!$A$2:$FC$100, 159, FALSE)=0), "None", VLOOKUP(1, Data_Source!$A$2:$FC$100, 159, FALSE) &amp; ""), ""))</f>
        <v>None</v>
      </c>
    </row>
    <row r="9" spans="2:8" ht="45" customHeight="1" x14ac:dyDescent="0.35">
      <c r="B9" s="29" t="str">
        <f>IF(ISERROR(MATCH(2, Data_Source!$A$2:$A$100, 0)), "", IFERROR(VLOOKUP(2, Data_Source!$A$2:$FC$100, 3, FALSE) &amp; "", ""))</f>
        <v>Công ty TNHH MikTek Việt Nam</v>
      </c>
      <c r="C9" s="29" t="str">
        <f>IF(B9="","", IFERROR(IF(OR(VLOOKUP(2, Data_Source!$A$2:$FC$100, 28, FALSE)="", VLOOKUP(2, Data_Source!$A$2:$FC$100, 28, FALSE)=0), "None", VLOOKUP(2, Data_Source!$A$2:$FC$100, 28, FALSE) &amp; ""), ""))</f>
        <v>None</v>
      </c>
      <c r="D9" s="29" t="str">
        <f>IF(B9="","", IFERROR(IF(OR(VLOOKUP(2, Data_Source!$A$2:$FC$100, 29, FALSE)="", VLOOKUP(2, Data_Source!$A$2:$FC$100, 29, FALSE)=0), "None", VLOOKUP(2, Data_Source!$A$2:$FC$100, 29, FALSE) &amp; ""), ""))</f>
        <v>None</v>
      </c>
      <c r="E9" s="29" t="str">
        <f>IF(B9="","", IFERROR(IF(OR(VLOOKUP(2, Data_Source!$A$2:$FC$100, 157, FALSE)="", VLOOKUP(2, Data_Source!$A$2:$FC$100, 157, FALSE)=0), "None", VLOOKUP(2, Data_Source!$A$2:$FC$100, 157, FALSE) &amp; ""), ""))</f>
        <v>None</v>
      </c>
      <c r="F9" s="29" t="str">
        <f>IF(B9="","", IFERROR(IF(OR(VLOOKUP(2, Data_Source!$A$2:$FC$100, 158, FALSE)="", VLOOKUP(2, Data_Source!$A$2:$FC$100, 158, FALSE)=0), "None", VLOOKUP(2, Data_Source!$A$2:$FC$100, 158, FALSE) &amp; ""), ""))</f>
        <v>None</v>
      </c>
      <c r="G9" s="29" t="str">
        <f>IF(B9="","", IFERROR(IF(OR(VLOOKUP(2,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None</v>
      </c>
      <c r="H9" s="29" t="str">
        <f>IF(B9="","", IFERROR(IF(OR(VLOOKUP(2, Data_Source!$A$2:$FC$100, 159, FALSE)="", VLOOKUP(2, Data_Source!$A$2:$FC$100, 159, FALSE)=0), "None", VLOOKUP(2, Data_Source!$A$2:$FC$100, 159, FALSE) &amp; ""), ""))</f>
        <v>None</v>
      </c>
    </row>
    <row r="10" spans="2:8" ht="45" customHeight="1" x14ac:dyDescent="0.35">
      <c r="B10" s="29" t="str">
        <f>IF(ISERROR(MATCH(3, Data_Source!$A$2:$A$100, 0)), "", IFERROR(VLOOKUP(3, Data_Source!$A$2:$FC$100, 3, FALSE) &amp; "", ""))</f>
        <v/>
      </c>
      <c r="C10" s="29" t="str">
        <f>IF(B10="","", IFERROR(IF(OR(VLOOKUP(3, Data_Source!$A$2:$FC$100, 28, FALSE)="", VLOOKUP(3, Data_Source!$A$2:$FC$100, 28, FALSE)=0), "None", VLOOKUP(3, Data_Source!$A$2:$FC$100, 28, FALSE) &amp; ""), ""))</f>
        <v/>
      </c>
      <c r="D10" s="29" t="str">
        <f>IF(B10="","", IFERROR(IF(OR(VLOOKUP(3, Data_Source!$A$2:$FC$100, 29, FALSE)="", VLOOKUP(3, Data_Source!$A$2:$FC$100, 29, FALSE)=0), "None", VLOOKUP(3, Data_Source!$A$2:$FC$100, 29, FALSE) &amp; ""), ""))</f>
        <v/>
      </c>
      <c r="E10" s="29" t="str">
        <f>IF(B10="","", IFERROR(IF(OR(VLOOKUP(3, Data_Source!$A$2:$FC$100, 157, FALSE)="", VLOOKUP(3, Data_Source!$A$2:$FC$100, 157, FALSE)=0), "None", VLOOKUP(3, Data_Source!$A$2:$FC$100, 157, FALSE) &amp; ""), ""))</f>
        <v/>
      </c>
      <c r="F10" s="29" t="str">
        <f>IF(B10="","", IFERROR(IF(OR(VLOOKUP(3, Data_Source!$A$2:$FC$100, 158, FALSE)="", VLOOKUP(3, Data_Source!$A$2:$FC$100, 158, FALSE)=0), "None", VLOOKUP(3, Data_Source!$A$2:$FC$100, 158, FALSE) &amp; ""), ""))</f>
        <v/>
      </c>
      <c r="G10" s="29" t="str">
        <f>IF(B10="","", IFERROR(IF(OR(VLOOKUP(3,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0" s="29" t="str">
        <f>IF(B10="","", IFERROR(IF(OR(VLOOKUP(3, Data_Source!$A$2:$FC$100, 159, FALSE)="", VLOOKUP(3, Data_Source!$A$2:$FC$100, 159, FALSE)=0), "None", VLOOKUP(3, Data_Source!$A$2:$FC$100, 159, FALSE) &amp; ""), ""))</f>
        <v/>
      </c>
    </row>
    <row r="11" spans="2:8" ht="45" customHeight="1" x14ac:dyDescent="0.35">
      <c r="B11" s="29" t="str">
        <f>IF(ISERROR(MATCH(4, Data_Source!$A$2:$A$100, 0)), "", IFERROR(VLOOKUP(4, Data_Source!$A$2:$FC$100, 3, FALSE) &amp; "", ""))</f>
        <v/>
      </c>
      <c r="C11" s="29" t="str">
        <f>IF(B11="","", IFERROR(IF(OR(VLOOKUP(4, Data_Source!$A$2:$FC$100, 28, FALSE)="", VLOOKUP(4, Data_Source!$A$2:$FC$100, 28, FALSE)=0), "None", VLOOKUP(4, Data_Source!$A$2:$FC$100, 28, FALSE) &amp; ""), ""))</f>
        <v/>
      </c>
      <c r="D11" s="29" t="str">
        <f>IF(B11="","", IFERROR(IF(OR(VLOOKUP(4, Data_Source!$A$2:$FC$100, 29, FALSE)="", VLOOKUP(4, Data_Source!$A$2:$FC$100, 29, FALSE)=0), "None", VLOOKUP(4, Data_Source!$A$2:$FC$100, 29, FALSE) &amp; ""), ""))</f>
        <v/>
      </c>
      <c r="E11" s="29" t="str">
        <f>IF(B11="","", IFERROR(IF(OR(VLOOKUP(4, Data_Source!$A$2:$FC$100, 157, FALSE)="", VLOOKUP(4, Data_Source!$A$2:$FC$100, 157, FALSE)=0), "None", VLOOKUP(4, Data_Source!$A$2:$FC$100, 157, FALSE) &amp; ""), ""))</f>
        <v/>
      </c>
      <c r="F11" s="29" t="str">
        <f>IF(B11="","", IFERROR(IF(OR(VLOOKUP(4, Data_Source!$A$2:$FC$100, 158, FALSE)="", VLOOKUP(4, Data_Source!$A$2:$FC$100, 158, FALSE)=0), "None", VLOOKUP(4, Data_Source!$A$2:$FC$100, 158, FALSE) &amp; ""), ""))</f>
        <v/>
      </c>
      <c r="G11" s="29" t="str">
        <f>IF(B11="","", IFERROR(IF(OR(VLOOKUP(4,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1" s="29" t="str">
        <f>IF(B11="","", IFERROR(IF(OR(VLOOKUP(4, Data_Source!$A$2:$FC$100, 159, FALSE)="", VLOOKUP(4, Data_Source!$A$2:$FC$100, 159, FALSE)=0), "None", VLOOKUP(4, Data_Source!$A$2:$FC$100, 159, FALSE) &amp; ""), ""))</f>
        <v/>
      </c>
    </row>
    <row r="12" spans="2:8" ht="45" customHeight="1" x14ac:dyDescent="0.35">
      <c r="B12" s="29" t="str">
        <f>IF(ISERROR(MATCH(5, Data_Source!$A$2:$A$100, 0)), "", IFERROR(VLOOKUP(5, Data_Source!$A$2:$FC$100, 3, FALSE) &amp; "", ""))</f>
        <v/>
      </c>
      <c r="C12" s="29" t="str">
        <f>IF(B12="","", IFERROR(IF(OR(VLOOKUP(5, Data_Source!$A$2:$FC$100, 28, FALSE)="", VLOOKUP(5, Data_Source!$A$2:$FC$100, 28, FALSE)=0), "None", VLOOKUP(5, Data_Source!$A$2:$FC$100, 28, FALSE) &amp; ""), ""))</f>
        <v/>
      </c>
      <c r="D12" s="29" t="str">
        <f>IF(B12="","", IFERROR(IF(OR(VLOOKUP(5, Data_Source!$A$2:$FC$100, 29, FALSE)="", VLOOKUP(5, Data_Source!$A$2:$FC$100, 29, FALSE)=0), "None", VLOOKUP(5, Data_Source!$A$2:$FC$100, 29, FALSE) &amp; ""), ""))</f>
        <v/>
      </c>
      <c r="E12" s="29" t="str">
        <f>IF(B12="","", IFERROR(IF(OR(VLOOKUP(5, Data_Source!$A$2:$FC$100, 157, FALSE)="", VLOOKUP(5, Data_Source!$A$2:$FC$100, 157, FALSE)=0), "None", VLOOKUP(5, Data_Source!$A$2:$FC$100, 157, FALSE) &amp; ""), ""))</f>
        <v/>
      </c>
      <c r="F12" s="29" t="str">
        <f>IF(B12="","", IFERROR(IF(OR(VLOOKUP(5, Data_Source!$A$2:$FC$100, 158, FALSE)="", VLOOKUP(5, Data_Source!$A$2:$FC$100, 158, FALSE)=0), "None", VLOOKUP(5, Data_Source!$A$2:$FC$100, 158, FALSE) &amp; ""), ""))</f>
        <v/>
      </c>
      <c r="G12" s="29" t="str">
        <f>IF(B12="","", IFERROR(IF(OR(VLOOKUP(5,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2" s="29" t="str">
        <f>IF(B12="","", IFERROR(IF(OR(VLOOKUP(5, Data_Source!$A$2:$FC$100, 159, FALSE)="", VLOOKUP(5, Data_Source!$A$2:$FC$100, 159, FALSE)=0), "None", VLOOKUP(5, Data_Source!$A$2:$FC$100, 159, FALSE) &amp; ""), ""))</f>
        <v/>
      </c>
    </row>
    <row r="13" spans="2:8" ht="45" customHeight="1" x14ac:dyDescent="0.35">
      <c r="B13" s="29" t="str">
        <f>IF(ISERROR(MATCH(6, Data_Source!$A$2:$A$100, 0)), "", IFERROR(VLOOKUP(6, Data_Source!$A$2:$FC$100, 3, FALSE) &amp; "", ""))</f>
        <v/>
      </c>
      <c r="C13" s="29" t="str">
        <f>IF(B13="","", IFERROR(IF(OR(VLOOKUP(6, Data_Source!$A$2:$FC$100, 28, FALSE)="", VLOOKUP(6, Data_Source!$A$2:$FC$100, 28, FALSE)=0), "None", VLOOKUP(6, Data_Source!$A$2:$FC$100, 28, FALSE) &amp; ""), ""))</f>
        <v/>
      </c>
      <c r="D13" s="29" t="str">
        <f>IF(B13="","", IFERROR(IF(OR(VLOOKUP(6, Data_Source!$A$2:$FC$100, 29, FALSE)="", VLOOKUP(6, Data_Source!$A$2:$FC$100, 29, FALSE)=0), "None", VLOOKUP(6, Data_Source!$A$2:$FC$100, 29, FALSE) &amp; ""), ""))</f>
        <v/>
      </c>
      <c r="E13" s="29" t="str">
        <f>IF(B13="","", IFERROR(IF(OR(VLOOKUP(6, Data_Source!$A$2:$FC$100, 157, FALSE)="", VLOOKUP(6, Data_Source!$A$2:$FC$100, 157, FALSE)=0), "None", VLOOKUP(6, Data_Source!$A$2:$FC$100, 157, FALSE) &amp; ""), ""))</f>
        <v/>
      </c>
      <c r="F13" s="29" t="str">
        <f>IF(B13="","", IFERROR(IF(OR(VLOOKUP(6, Data_Source!$A$2:$FC$100, 158, FALSE)="", VLOOKUP(6, Data_Source!$A$2:$FC$100, 158, FALSE)=0), "None", VLOOKUP(6, Data_Source!$A$2:$FC$100, 158, FALSE) &amp; ""), ""))</f>
        <v/>
      </c>
      <c r="G13" s="29" t="str">
        <f>IF(B13="","", IFERROR(IF(OR(VLOOKUP(6,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3" s="29" t="str">
        <f>IF(B13="","", IFERROR(IF(OR(VLOOKUP(6, Data_Source!$A$2:$FC$100, 159, FALSE)="", VLOOKUP(6, Data_Source!$A$2:$FC$100, 159, FALSE)=0), "None", VLOOKUP(6, Data_Source!$A$2:$FC$100, 159, FALSE) &amp; ""), ""))</f>
        <v/>
      </c>
    </row>
    <row r="14" spans="2:8" ht="45" customHeight="1" x14ac:dyDescent="0.35">
      <c r="B14" s="29" t="str">
        <f>IF(ISERROR(MATCH(7, Data_Source!$A$2:$A$100, 0)), "", IFERROR(VLOOKUP(7, Data_Source!$A$2:$FC$100, 3, FALSE) &amp; "", ""))</f>
        <v/>
      </c>
      <c r="C14" s="29" t="str">
        <f>IF(B14="","", IFERROR(IF(OR(VLOOKUP(7, Data_Source!$A$2:$FC$100, 28, FALSE)="", VLOOKUP(7, Data_Source!$A$2:$FC$100, 28, FALSE)=0), "None", VLOOKUP(7, Data_Source!$A$2:$FC$100, 28, FALSE) &amp; ""), ""))</f>
        <v/>
      </c>
      <c r="D14" s="29" t="str">
        <f>IF(B14="","", IFERROR(IF(OR(VLOOKUP(7, Data_Source!$A$2:$FC$100, 29, FALSE)="", VLOOKUP(7, Data_Source!$A$2:$FC$100, 29, FALSE)=0), "None", VLOOKUP(7, Data_Source!$A$2:$FC$100, 29, FALSE) &amp; ""), ""))</f>
        <v/>
      </c>
      <c r="E14" s="29" t="str">
        <f>IF(B14="","", IFERROR(IF(OR(VLOOKUP(7, Data_Source!$A$2:$FC$100, 157, FALSE)="", VLOOKUP(7, Data_Source!$A$2:$FC$100, 157, FALSE)=0), "None", VLOOKUP(7, Data_Source!$A$2:$FC$100, 157, FALSE) &amp; ""), ""))</f>
        <v/>
      </c>
      <c r="F14" s="29" t="str">
        <f>IF(B14="","", IFERROR(IF(OR(VLOOKUP(7, Data_Source!$A$2:$FC$100, 158, FALSE)="", VLOOKUP(7, Data_Source!$A$2:$FC$100, 158, FALSE)=0), "None", VLOOKUP(7, Data_Source!$A$2:$FC$100, 158, FALSE) &amp; ""), ""))</f>
        <v/>
      </c>
      <c r="G14" s="29" t="str">
        <f>IF(B14="","", IFERROR(IF(OR(VLOOKUP(7,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4" s="29" t="str">
        <f>IF(B14="","", IFERROR(IF(OR(VLOOKUP(7, Data_Source!$A$2:$FC$100, 159, FALSE)="", VLOOKUP(7, Data_Source!$A$2:$FC$100, 159, FALSE)=0), "None", VLOOKUP(7, Data_Source!$A$2:$FC$100, 159, FALSE) &amp; ""), ""))</f>
        <v/>
      </c>
    </row>
    <row r="15" spans="2:8" ht="45" customHeight="1" x14ac:dyDescent="0.35">
      <c r="B15" s="29" t="str">
        <f>IF(ISERROR(MATCH(8, Data_Source!$A$2:$A$100, 0)), "", IFERROR(VLOOKUP(8, Data_Source!$A$2:$FC$100, 3, FALSE) &amp; "", ""))</f>
        <v/>
      </c>
      <c r="C15" s="29" t="str">
        <f>IF(B15="","", IFERROR(IF(OR(VLOOKUP(8, Data_Source!$A$2:$FC$100, 28, FALSE)="", VLOOKUP(8, Data_Source!$A$2:$FC$100, 28, FALSE)=0), "None", VLOOKUP(8, Data_Source!$A$2:$FC$100, 28, FALSE) &amp; ""), ""))</f>
        <v/>
      </c>
      <c r="D15" s="29" t="str">
        <f>IF(B15="","", IFERROR(IF(OR(VLOOKUP(8, Data_Source!$A$2:$FC$100, 29, FALSE)="", VLOOKUP(8, Data_Source!$A$2:$FC$100, 29, FALSE)=0), "None", VLOOKUP(8, Data_Source!$A$2:$FC$100, 29, FALSE) &amp; ""), ""))</f>
        <v/>
      </c>
      <c r="E15" s="29" t="str">
        <f>IF(B15="","", IFERROR(IF(OR(VLOOKUP(8, Data_Source!$A$2:$FC$100, 157, FALSE)="", VLOOKUP(8, Data_Source!$A$2:$FC$100, 157, FALSE)=0), "None", VLOOKUP(8, Data_Source!$A$2:$FC$100, 157, FALSE) &amp; ""), ""))</f>
        <v/>
      </c>
      <c r="F15" s="29" t="str">
        <f>IF(B15="","", IFERROR(IF(OR(VLOOKUP(8, Data_Source!$A$2:$FC$100, 158, FALSE)="", VLOOKUP(8, Data_Source!$A$2:$FC$100, 158, FALSE)=0), "None", VLOOKUP(8, Data_Source!$A$2:$FC$100, 158, FALSE) &amp; ""), ""))</f>
        <v/>
      </c>
      <c r="G15" s="29" t="str">
        <f>IF(B15="","", IFERROR(IF(OR(VLOOKUP(8,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5" s="29" t="str">
        <f>IF(B15="","", IFERROR(IF(OR(VLOOKUP(8, Data_Source!$A$2:$FC$100, 159, FALSE)="", VLOOKUP(8, Data_Source!$A$2:$FC$100, 159, FALSE)=0), "None", VLOOKUP(8, Data_Source!$A$2:$FC$100, 159, FALSE) &amp; ""), ""))</f>
        <v/>
      </c>
    </row>
    <row r="16" spans="2:8" ht="45" customHeight="1" x14ac:dyDescent="0.35">
      <c r="B16" s="29" t="str">
        <f>IF(ISERROR(MATCH(9, Data_Source!$A$2:$A$100, 0)), "", IFERROR(VLOOKUP(9, Data_Source!$A$2:$FC$100, 3, FALSE) &amp; "", ""))</f>
        <v/>
      </c>
      <c r="C16" s="29" t="str">
        <f>IF(B16="","", IFERROR(IF(OR(VLOOKUP(9, Data_Source!$A$2:$FC$100, 28, FALSE)="", VLOOKUP(9, Data_Source!$A$2:$FC$100, 28, FALSE)=0), "None", VLOOKUP(9, Data_Source!$A$2:$FC$100, 28, FALSE) &amp; ""), ""))</f>
        <v/>
      </c>
      <c r="D16" s="29" t="str">
        <f>IF(B16="","", IFERROR(IF(OR(VLOOKUP(9, Data_Source!$A$2:$FC$100, 29, FALSE)="", VLOOKUP(9, Data_Source!$A$2:$FC$100, 29, FALSE)=0), "None", VLOOKUP(9, Data_Source!$A$2:$FC$100, 29, FALSE) &amp; ""), ""))</f>
        <v/>
      </c>
      <c r="E16" s="29" t="str">
        <f>IF(B16="","", IFERROR(IF(OR(VLOOKUP(9, Data_Source!$A$2:$FC$100, 157, FALSE)="", VLOOKUP(9, Data_Source!$A$2:$FC$100, 157, FALSE)=0), "None", VLOOKUP(9, Data_Source!$A$2:$FC$100, 157, FALSE) &amp; ""), ""))</f>
        <v/>
      </c>
      <c r="F16" s="29" t="str">
        <f>IF(B16="","", IFERROR(IF(OR(VLOOKUP(9, Data_Source!$A$2:$FC$100, 158, FALSE)="", VLOOKUP(9, Data_Source!$A$2:$FC$100, 158, FALSE)=0), "None", VLOOKUP(9, Data_Source!$A$2:$FC$100, 158, FALSE) &amp; ""), ""))</f>
        <v/>
      </c>
      <c r="G16" s="29" t="str">
        <f>IF(B16="","", IFERROR(IF(OR(VLOOKUP(9,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6" s="29" t="str">
        <f>IF(B16="","", IFERROR(IF(OR(VLOOKUP(9, Data_Source!$A$2:$FC$100, 159, FALSE)="", VLOOKUP(9, Data_Source!$A$2:$FC$100, 159, FALSE)=0), "None", VLOOKUP(9, Data_Source!$A$2:$FC$100, 159, FALSE) &amp; ""), ""))</f>
        <v/>
      </c>
    </row>
    <row r="17" spans="2:8" ht="45" customHeight="1" x14ac:dyDescent="0.35">
      <c r="B17" s="29" t="str">
        <f>IF(ISERROR(MATCH(10, Data_Source!$A$2:$A$100, 0)), "", IFERROR(VLOOKUP(10, Data_Source!$A$2:$FC$100, 3, FALSE) &amp; "", ""))</f>
        <v/>
      </c>
      <c r="C17" s="29" t="str">
        <f>IF(B17="","", IFERROR(IF(OR(VLOOKUP(10, Data_Source!$A$2:$FC$100, 28, FALSE)="", VLOOKUP(10, Data_Source!$A$2:$FC$100, 28, FALSE)=0), "None", VLOOKUP(10, Data_Source!$A$2:$FC$100, 28, FALSE) &amp; ""), ""))</f>
        <v/>
      </c>
      <c r="D17" s="29" t="str">
        <f>IF(B17="","", IFERROR(IF(OR(VLOOKUP(10, Data_Source!$A$2:$FC$100, 29, FALSE)="", VLOOKUP(10, Data_Source!$A$2:$FC$100, 29, FALSE)=0), "None", VLOOKUP(10, Data_Source!$A$2:$FC$100, 29, FALSE) &amp; ""), ""))</f>
        <v/>
      </c>
      <c r="E17" s="29" t="str">
        <f>IF(B17="","", IFERROR(IF(OR(VLOOKUP(10, Data_Source!$A$2:$FC$100, 157, FALSE)="", VLOOKUP(10, Data_Source!$A$2:$FC$100, 157, FALSE)=0), "None", VLOOKUP(10, Data_Source!$A$2:$FC$100, 157, FALSE) &amp; ""), ""))</f>
        <v/>
      </c>
      <c r="F17" s="29" t="str">
        <f>IF(B17="","", IFERROR(IF(OR(VLOOKUP(10, Data_Source!$A$2:$FC$100, 158, FALSE)="", VLOOKUP(10, Data_Source!$A$2:$FC$100, 158, FALSE)=0), "None", VLOOKUP(10, Data_Source!$A$2:$FC$100, 158, FALSE) &amp; ""), ""))</f>
        <v/>
      </c>
      <c r="G17" s="29" t="str">
        <f>IF(B17="","", IFERROR(IF(OR(VLOOKUP(10,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7" s="29" t="str">
        <f>IF(B17="","", IFERROR(IF(OR(VLOOKUP(10, Data_Source!$A$2:$FC$100, 159, FALSE)="", VLOOKUP(10, Data_Source!$A$2:$FC$100, 159, FALSE)=0), "None", VLOOKUP(10, Data_Source!$A$2:$FC$100, 159, FALSE) &amp; ""), ""))</f>
        <v/>
      </c>
    </row>
    <row r="18" spans="2:8" ht="45" customHeight="1" x14ac:dyDescent="0.35">
      <c r="B18" s="29" t="str">
        <f>IF(ISERROR(MATCH(11, Data_Source!$A$2:$A$100, 0)), "", IFERROR(VLOOKUP(11, Data_Source!$A$2:$FC$100, 3, FALSE) &amp; "", ""))</f>
        <v/>
      </c>
      <c r="C18" s="29" t="str">
        <f>IF(B18="","", IFERROR(IF(OR(VLOOKUP(11, Data_Source!$A$2:$FC$100, 28, FALSE)="", VLOOKUP(11, Data_Source!$A$2:$FC$100, 28, FALSE)=0), "None", VLOOKUP(11, Data_Source!$A$2:$FC$100, 28, FALSE) &amp; ""), ""))</f>
        <v/>
      </c>
      <c r="D18" s="29" t="str">
        <f>IF(B18="","", IFERROR(IF(OR(VLOOKUP(11, Data_Source!$A$2:$FC$100, 29, FALSE)="", VLOOKUP(11, Data_Source!$A$2:$FC$100, 29, FALSE)=0), "None", VLOOKUP(11, Data_Source!$A$2:$FC$100, 29, FALSE) &amp; ""), ""))</f>
        <v/>
      </c>
      <c r="E18" s="29" t="str">
        <f>IF(B18="","", IFERROR(IF(OR(VLOOKUP(11, Data_Source!$A$2:$FC$100, 157, FALSE)="", VLOOKUP(11, Data_Source!$A$2:$FC$100, 157, FALSE)=0), "None", VLOOKUP(11, Data_Source!$A$2:$FC$100, 157, FALSE) &amp; ""), ""))</f>
        <v/>
      </c>
      <c r="F18" s="29" t="str">
        <f>IF(B18="","", IFERROR(IF(OR(VLOOKUP(11, Data_Source!$A$2:$FC$100, 158, FALSE)="", VLOOKUP(11, Data_Source!$A$2:$FC$100, 158, FALSE)=0), "None", VLOOKUP(11, Data_Source!$A$2:$FC$100, 158, FALSE) &amp; ""), ""))</f>
        <v/>
      </c>
      <c r="G18" s="29" t="str">
        <f>IF(B18="","", IFERROR(IF(OR(VLOOKUP(11,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8" s="29" t="str">
        <f>IF(B18="","", IFERROR(IF(OR(VLOOKUP(11, Data_Source!$A$2:$FC$100, 159, FALSE)="", VLOOKUP(11, Data_Source!$A$2:$FC$100, 159, FALSE)=0), "None", VLOOKUP(11, Data_Source!$A$2:$FC$100, 159, FALSE) &amp; ""), ""))</f>
        <v/>
      </c>
    </row>
    <row r="19" spans="2:8" ht="45" customHeight="1" x14ac:dyDescent="0.35">
      <c r="B19" s="29" t="str">
        <f>IF(ISERROR(MATCH(12, Data_Source!$A$2:$A$100, 0)), "", IFERROR(VLOOKUP(12, Data_Source!$A$2:$FC$100, 3, FALSE) &amp; "", ""))</f>
        <v/>
      </c>
      <c r="C19" s="29" t="str">
        <f>IF(B19="","", IFERROR(IF(OR(VLOOKUP(12, Data_Source!$A$2:$FC$100, 28, FALSE)="", VLOOKUP(12, Data_Source!$A$2:$FC$100, 28, FALSE)=0), "None", VLOOKUP(12, Data_Source!$A$2:$FC$100, 28, FALSE) &amp; ""), ""))</f>
        <v/>
      </c>
      <c r="D19" s="29" t="str">
        <f>IF(B19="","", IFERROR(IF(OR(VLOOKUP(12, Data_Source!$A$2:$FC$100, 29, FALSE)="", VLOOKUP(12, Data_Source!$A$2:$FC$100, 29, FALSE)=0), "None", VLOOKUP(12, Data_Source!$A$2:$FC$100, 29, FALSE) &amp; ""), ""))</f>
        <v/>
      </c>
      <c r="E19" s="29" t="str">
        <f>IF(B19="","", IFERROR(IF(OR(VLOOKUP(12, Data_Source!$A$2:$FC$100, 157, FALSE)="", VLOOKUP(12, Data_Source!$A$2:$FC$100, 157, FALSE)=0), "None", VLOOKUP(12, Data_Source!$A$2:$FC$100, 157, FALSE) &amp; ""), ""))</f>
        <v/>
      </c>
      <c r="F19" s="29" t="str">
        <f>IF(B19="","", IFERROR(IF(OR(VLOOKUP(12, Data_Source!$A$2:$FC$100, 158, FALSE)="", VLOOKUP(12, Data_Source!$A$2:$FC$100, 158, FALSE)=0), "None", VLOOKUP(12, Data_Source!$A$2:$FC$100, 158, FALSE) &amp; ""), ""))</f>
        <v/>
      </c>
      <c r="G19" s="29" t="str">
        <f>IF(B19="","", IFERROR(IF(OR(VLOOKUP(12,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19" s="29" t="str">
        <f>IF(B19="","", IFERROR(IF(OR(VLOOKUP(12, Data_Source!$A$2:$FC$100, 159, FALSE)="", VLOOKUP(12, Data_Source!$A$2:$FC$100, 159, FALSE)=0), "None", VLOOKUP(12, Data_Source!$A$2:$FC$100, 159, FALSE) &amp; ""), ""))</f>
        <v/>
      </c>
    </row>
    <row r="20" spans="2:8" ht="45" customHeight="1" x14ac:dyDescent="0.35">
      <c r="B20" s="29" t="str">
        <f>IF(ISERROR(MATCH(13, Data_Source!$A$2:$A$100, 0)), "", IFERROR(VLOOKUP(13, Data_Source!$A$2:$FC$100, 3, FALSE) &amp; "", ""))</f>
        <v/>
      </c>
      <c r="C20" s="29" t="str">
        <f>IF(B20="","", IFERROR(IF(OR(VLOOKUP(13, Data_Source!$A$2:$FC$100, 28, FALSE)="", VLOOKUP(13, Data_Source!$A$2:$FC$100, 28, FALSE)=0), "None", VLOOKUP(13, Data_Source!$A$2:$FC$100, 28, FALSE) &amp; ""), ""))</f>
        <v/>
      </c>
      <c r="D20" s="29" t="str">
        <f>IF(B20="","", IFERROR(IF(OR(VLOOKUP(13, Data_Source!$A$2:$FC$100, 29, FALSE)="", VLOOKUP(13, Data_Source!$A$2:$FC$100, 29, FALSE)=0), "None", VLOOKUP(13, Data_Source!$A$2:$FC$100, 29, FALSE) &amp; ""), ""))</f>
        <v/>
      </c>
      <c r="E20" s="29" t="str">
        <f>IF(B20="","", IFERROR(IF(OR(VLOOKUP(13, Data_Source!$A$2:$FC$100, 157, FALSE)="", VLOOKUP(13, Data_Source!$A$2:$FC$100, 157, FALSE)=0), "None", VLOOKUP(13, Data_Source!$A$2:$FC$100, 157, FALSE) &amp; ""), ""))</f>
        <v/>
      </c>
      <c r="F20" s="29" t="str">
        <f>IF(B20="","", IFERROR(IF(OR(VLOOKUP(13, Data_Source!$A$2:$FC$100, 158, FALSE)="", VLOOKUP(13, Data_Source!$A$2:$FC$100, 158, FALSE)=0), "None", VLOOKUP(13, Data_Source!$A$2:$FC$100, 158, FALSE) &amp; ""), ""))</f>
        <v/>
      </c>
      <c r="G20" s="29" t="str">
        <f>IF(B20="","", IFERROR(IF(OR(VLOOKUP(13,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0" s="29" t="str">
        <f>IF(B20="","", IFERROR(IF(OR(VLOOKUP(13, Data_Source!$A$2:$FC$100, 159, FALSE)="", VLOOKUP(13, Data_Source!$A$2:$FC$100, 159, FALSE)=0), "None", VLOOKUP(13, Data_Source!$A$2:$FC$100, 159, FALSE) &amp; ""), ""))</f>
        <v/>
      </c>
    </row>
    <row r="21" spans="2:8" ht="45" customHeight="1" x14ac:dyDescent="0.35">
      <c r="B21" s="29" t="str">
        <f>IF(ISERROR(MATCH(14, Data_Source!$A$2:$A$100, 0)), "", IFERROR(VLOOKUP(14, Data_Source!$A$2:$FC$100, 3, FALSE) &amp; "", ""))</f>
        <v/>
      </c>
      <c r="C21" s="29" t="str">
        <f>IF(B21="","", IFERROR(IF(OR(VLOOKUP(14, Data_Source!$A$2:$FC$100, 28, FALSE)="", VLOOKUP(14, Data_Source!$A$2:$FC$100, 28, FALSE)=0), "None", VLOOKUP(14, Data_Source!$A$2:$FC$100, 28, FALSE) &amp; ""), ""))</f>
        <v/>
      </c>
      <c r="D21" s="29" t="str">
        <f>IF(B21="","", IFERROR(IF(OR(VLOOKUP(14, Data_Source!$A$2:$FC$100, 29, FALSE)="", VLOOKUP(14, Data_Source!$A$2:$FC$100, 29, FALSE)=0), "None", VLOOKUP(14, Data_Source!$A$2:$FC$100, 29, FALSE) &amp; ""), ""))</f>
        <v/>
      </c>
      <c r="E21" s="29" t="str">
        <f>IF(B21="","", IFERROR(IF(OR(VLOOKUP(14, Data_Source!$A$2:$FC$100, 157, FALSE)="", VLOOKUP(14, Data_Source!$A$2:$FC$100, 157, FALSE)=0), "None", VLOOKUP(14, Data_Source!$A$2:$FC$100, 157, FALSE) &amp; ""), ""))</f>
        <v/>
      </c>
      <c r="F21" s="29" t="str">
        <f>IF(B21="","", IFERROR(IF(OR(VLOOKUP(14, Data_Source!$A$2:$FC$100, 158, FALSE)="", VLOOKUP(14, Data_Source!$A$2:$FC$100, 158, FALSE)=0), "None", VLOOKUP(14, Data_Source!$A$2:$FC$100, 158, FALSE) &amp; ""), ""))</f>
        <v/>
      </c>
      <c r="G21" s="29" t="str">
        <f>IF(B21="","", IFERROR(IF(OR(VLOOKUP(14,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1" s="29" t="str">
        <f>IF(B21="","", IFERROR(IF(OR(VLOOKUP(14, Data_Source!$A$2:$FC$100, 159, FALSE)="", VLOOKUP(14, Data_Source!$A$2:$FC$100, 159, FALSE)=0), "None", VLOOKUP(14, Data_Source!$A$2:$FC$100, 159, FALSE) &amp; ""), ""))</f>
        <v/>
      </c>
    </row>
    <row r="22" spans="2:8" ht="45" customHeight="1" x14ac:dyDescent="0.35">
      <c r="B22" s="29" t="str">
        <f>IF(ISERROR(MATCH(15, Data_Source!$A$2:$A$100, 0)), "", IFERROR(VLOOKUP(15, Data_Source!$A$2:$FC$100, 3, FALSE) &amp; "", ""))</f>
        <v/>
      </c>
      <c r="C22" s="29" t="str">
        <f>IF(B22="","", IFERROR(IF(OR(VLOOKUP(15, Data_Source!$A$2:$FC$100, 28, FALSE)="", VLOOKUP(15, Data_Source!$A$2:$FC$100, 28, FALSE)=0), "None", VLOOKUP(15, Data_Source!$A$2:$FC$100, 28, FALSE) &amp; ""), ""))</f>
        <v/>
      </c>
      <c r="D22" s="29" t="str">
        <f>IF(B22="","", IFERROR(IF(OR(VLOOKUP(15, Data_Source!$A$2:$FC$100, 29, FALSE)="", VLOOKUP(15, Data_Source!$A$2:$FC$100, 29, FALSE)=0), "None", VLOOKUP(15, Data_Source!$A$2:$FC$100, 29, FALSE) &amp; ""), ""))</f>
        <v/>
      </c>
      <c r="E22" s="29" t="str">
        <f>IF(B22="","", IFERROR(IF(OR(VLOOKUP(15, Data_Source!$A$2:$FC$100, 157, FALSE)="", VLOOKUP(15, Data_Source!$A$2:$FC$100, 157, FALSE)=0), "None", VLOOKUP(15, Data_Source!$A$2:$FC$100, 157, FALSE) &amp; ""), ""))</f>
        <v/>
      </c>
      <c r="F22" s="29" t="str">
        <f>IF(B22="","", IFERROR(IF(OR(VLOOKUP(15, Data_Source!$A$2:$FC$100, 158, FALSE)="", VLOOKUP(15, Data_Source!$A$2:$FC$100, 158, FALSE)=0), "None", VLOOKUP(15, Data_Source!$A$2:$FC$100, 158, FALSE) &amp; ""), ""))</f>
        <v/>
      </c>
      <c r="G22" s="29" t="str">
        <f>IF(B22="","", IFERROR(IF(OR(VLOOKUP(15,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2" s="29" t="str">
        <f>IF(B22="","", IFERROR(IF(OR(VLOOKUP(15, Data_Source!$A$2:$FC$100, 159, FALSE)="", VLOOKUP(15, Data_Source!$A$2:$FC$100, 159, FALSE)=0), "None", VLOOKUP(15, Data_Source!$A$2:$FC$100, 159, FALSE) &amp; ""), ""))</f>
        <v/>
      </c>
    </row>
    <row r="23" spans="2:8" ht="45" customHeight="1" x14ac:dyDescent="0.35">
      <c r="B23" s="29" t="str">
        <f>IF(ISERROR(MATCH(16, Data_Source!$A$2:$A$100, 0)), "", IFERROR(VLOOKUP(16, Data_Source!$A$2:$FC$100, 3, FALSE) &amp; "", ""))</f>
        <v/>
      </c>
      <c r="C23" s="29" t="str">
        <f>IF(B23="","", IFERROR(IF(OR(VLOOKUP(16, Data_Source!$A$2:$FC$100, 28, FALSE)="", VLOOKUP(16, Data_Source!$A$2:$FC$100, 28, FALSE)=0), "None", VLOOKUP(16, Data_Source!$A$2:$FC$100, 28, FALSE) &amp; ""), ""))</f>
        <v/>
      </c>
      <c r="D23" s="29" t="str">
        <f>IF(B23="","", IFERROR(IF(OR(VLOOKUP(16, Data_Source!$A$2:$FC$100, 29, FALSE)="", VLOOKUP(16, Data_Source!$A$2:$FC$100, 29, FALSE)=0), "None", VLOOKUP(16, Data_Source!$A$2:$FC$100, 29, FALSE) &amp; ""), ""))</f>
        <v/>
      </c>
      <c r="E23" s="29" t="str">
        <f>IF(B23="","", IFERROR(IF(OR(VLOOKUP(16, Data_Source!$A$2:$FC$100, 157, FALSE)="", VLOOKUP(16, Data_Source!$A$2:$FC$100, 157, FALSE)=0), "None", VLOOKUP(16, Data_Source!$A$2:$FC$100, 157, FALSE) &amp; ""), ""))</f>
        <v/>
      </c>
      <c r="F23" s="29" t="str">
        <f>IF(B23="","", IFERROR(IF(OR(VLOOKUP(16, Data_Source!$A$2:$FC$100, 158, FALSE)="", VLOOKUP(16, Data_Source!$A$2:$FC$100, 158, FALSE)=0), "None", VLOOKUP(16, Data_Source!$A$2:$FC$100, 158, FALSE) &amp; ""), ""))</f>
        <v/>
      </c>
      <c r="G23" s="29" t="str">
        <f>IF(B23="","", IFERROR(IF(OR(VLOOKUP(16,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3" s="29" t="str">
        <f>IF(B23="","", IFERROR(IF(OR(VLOOKUP(16, Data_Source!$A$2:$FC$100, 159, FALSE)="", VLOOKUP(16, Data_Source!$A$2:$FC$100, 159, FALSE)=0), "None", VLOOKUP(16, Data_Source!$A$2:$FC$100, 159, FALSE) &amp; ""), ""))</f>
        <v/>
      </c>
    </row>
    <row r="24" spans="2:8" ht="45" customHeight="1" x14ac:dyDescent="0.35">
      <c r="B24" s="29" t="str">
        <f>IF(ISERROR(MATCH(17, Data_Source!$A$2:$A$100, 0)), "", IFERROR(VLOOKUP(17, Data_Source!$A$2:$FC$100, 3, FALSE) &amp; "", ""))</f>
        <v/>
      </c>
      <c r="C24" s="29" t="str">
        <f>IF(B24="","", IFERROR(IF(OR(VLOOKUP(17, Data_Source!$A$2:$FC$100, 28, FALSE)="", VLOOKUP(17, Data_Source!$A$2:$FC$100, 28, FALSE)=0), "None", VLOOKUP(17, Data_Source!$A$2:$FC$100, 28, FALSE) &amp; ""), ""))</f>
        <v/>
      </c>
      <c r="D24" s="29" t="str">
        <f>IF(B24="","", IFERROR(IF(OR(VLOOKUP(17, Data_Source!$A$2:$FC$100, 29, FALSE)="", VLOOKUP(17, Data_Source!$A$2:$FC$100, 29, FALSE)=0), "None", VLOOKUP(17, Data_Source!$A$2:$FC$100, 29, FALSE) &amp; ""), ""))</f>
        <v/>
      </c>
      <c r="E24" s="29" t="str">
        <f>IF(B24="","", IFERROR(IF(OR(VLOOKUP(17, Data_Source!$A$2:$FC$100, 157, FALSE)="", VLOOKUP(17, Data_Source!$A$2:$FC$100, 157, FALSE)=0), "None", VLOOKUP(17, Data_Source!$A$2:$FC$100, 157, FALSE) &amp; ""), ""))</f>
        <v/>
      </c>
      <c r="F24" s="29" t="str">
        <f>IF(B24="","", IFERROR(IF(OR(VLOOKUP(17, Data_Source!$A$2:$FC$100, 158, FALSE)="", VLOOKUP(17, Data_Source!$A$2:$FC$100, 158, FALSE)=0), "None", VLOOKUP(17, Data_Source!$A$2:$FC$100, 158, FALSE) &amp; ""), ""))</f>
        <v/>
      </c>
      <c r="G24" s="29" t="str">
        <f>IF(B24="","", IFERROR(IF(OR(VLOOKUP(17,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4" s="29" t="str">
        <f>IF(B24="","", IFERROR(IF(OR(VLOOKUP(17, Data_Source!$A$2:$FC$100, 159, FALSE)="", VLOOKUP(17, Data_Source!$A$2:$FC$100, 159, FALSE)=0), "None", VLOOKUP(17, Data_Source!$A$2:$FC$100, 159, FALSE) &amp; ""), ""))</f>
        <v/>
      </c>
    </row>
    <row r="25" spans="2:8" ht="45" customHeight="1" x14ac:dyDescent="0.35">
      <c r="B25" s="29" t="str">
        <f>IF(ISERROR(MATCH(18, Data_Source!$A$2:$A$100, 0)), "", IFERROR(VLOOKUP(18, Data_Source!$A$2:$FC$100, 3, FALSE) &amp; "", ""))</f>
        <v/>
      </c>
      <c r="C25" s="29" t="str">
        <f>IF(B25="","", IFERROR(IF(OR(VLOOKUP(18, Data_Source!$A$2:$FC$100, 28, FALSE)="", VLOOKUP(18, Data_Source!$A$2:$FC$100, 28, FALSE)=0), "None", VLOOKUP(18, Data_Source!$A$2:$FC$100, 28, FALSE) &amp; ""), ""))</f>
        <v/>
      </c>
      <c r="D25" s="29" t="str">
        <f>IF(B25="","", IFERROR(IF(OR(VLOOKUP(18, Data_Source!$A$2:$FC$100, 29, FALSE)="", VLOOKUP(18, Data_Source!$A$2:$FC$100, 29, FALSE)=0), "None", VLOOKUP(18, Data_Source!$A$2:$FC$100, 29, FALSE) &amp; ""), ""))</f>
        <v/>
      </c>
      <c r="E25" s="29" t="str">
        <f>IF(B25="","", IFERROR(IF(OR(VLOOKUP(18, Data_Source!$A$2:$FC$100, 157, FALSE)="", VLOOKUP(18, Data_Source!$A$2:$FC$100, 157, FALSE)=0), "None", VLOOKUP(18, Data_Source!$A$2:$FC$100, 157, FALSE) &amp; ""), ""))</f>
        <v/>
      </c>
      <c r="F25" s="29" t="str">
        <f>IF(B25="","", IFERROR(IF(OR(VLOOKUP(18, Data_Source!$A$2:$FC$100, 158, FALSE)="", VLOOKUP(18, Data_Source!$A$2:$FC$100, 158, FALSE)=0), "None", VLOOKUP(18, Data_Source!$A$2:$FC$100, 158, FALSE) &amp; ""), ""))</f>
        <v/>
      </c>
      <c r="G25" s="29" t="str">
        <f>IF(B25="","", IFERROR(IF(OR(VLOOKUP(18,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5" s="29" t="str">
        <f>IF(B25="","", IFERROR(IF(OR(VLOOKUP(18, Data_Source!$A$2:$FC$100, 159, FALSE)="", VLOOKUP(18, Data_Source!$A$2:$FC$100, 159, FALSE)=0), "None", VLOOKUP(18, Data_Source!$A$2:$FC$100, 159, FALSE) &amp; ""), ""))</f>
        <v/>
      </c>
    </row>
    <row r="26" spans="2:8" ht="45" customHeight="1" x14ac:dyDescent="0.35">
      <c r="B26" s="29" t="str">
        <f>IF(ISERROR(MATCH(19, Data_Source!$A$2:$A$100, 0)), "", IFERROR(VLOOKUP(19, Data_Source!$A$2:$FC$100, 3, FALSE) &amp; "", ""))</f>
        <v/>
      </c>
      <c r="C26" s="29" t="str">
        <f>IF(B26="","", IFERROR(IF(OR(VLOOKUP(19, Data_Source!$A$2:$FC$100, 28, FALSE)="", VLOOKUP(19, Data_Source!$A$2:$FC$100, 28, FALSE)=0), "None", VLOOKUP(19, Data_Source!$A$2:$FC$100, 28, FALSE) &amp; ""), ""))</f>
        <v/>
      </c>
      <c r="D26" s="29" t="str">
        <f>IF(B26="","", IFERROR(IF(OR(VLOOKUP(19, Data_Source!$A$2:$FC$100, 29, FALSE)="", VLOOKUP(19, Data_Source!$A$2:$FC$100, 29, FALSE)=0), "None", VLOOKUP(19, Data_Source!$A$2:$FC$100, 29, FALSE) &amp; ""), ""))</f>
        <v/>
      </c>
      <c r="E26" s="29" t="str">
        <f>IF(B26="","", IFERROR(IF(OR(VLOOKUP(19, Data_Source!$A$2:$FC$100, 157, FALSE)="", VLOOKUP(19, Data_Source!$A$2:$FC$100, 157, FALSE)=0), "None", VLOOKUP(19, Data_Source!$A$2:$FC$100, 157, FALSE) &amp; ""), ""))</f>
        <v/>
      </c>
      <c r="F26" s="29" t="str">
        <f>IF(B26="","", IFERROR(IF(OR(VLOOKUP(19, Data_Source!$A$2:$FC$100, 158, FALSE)="", VLOOKUP(19, Data_Source!$A$2:$FC$100, 158, FALSE)=0), "None", VLOOKUP(19, Data_Source!$A$2:$FC$100, 158, FALSE) &amp; ""), ""))</f>
        <v/>
      </c>
      <c r="G26" s="29" t="str">
        <f>IF(B26="","", IFERROR(IF(OR(VLOOKUP(19,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VLOOKUP(19,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VLOOKUP(19,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6" s="29" t="str">
        <f>IF(B26="","", IFERROR(IF(OR(VLOOKUP(19, Data_Source!$A$2:$FC$100, 159, FALSE)="", VLOOKUP(19, Data_Source!$A$2:$FC$100, 159, FALSE)=0), "None", VLOOKUP(19, Data_Source!$A$2:$FC$100, 159, FALSE) &amp; ""), ""))</f>
        <v/>
      </c>
    </row>
    <row r="27" spans="2:8" ht="45" customHeight="1" x14ac:dyDescent="0.35">
      <c r="B27" s="29" t="str">
        <f>IF(ISERROR(MATCH(20, Data_Source!$A$2:$A$100, 0)), "", IFERROR(VLOOKUP(20, Data_Source!$A$2:$FC$100, 3, FALSE) &amp; "", ""))</f>
        <v/>
      </c>
      <c r="C27" s="29" t="str">
        <f>IF(B27="","", IFERROR(IF(OR(VLOOKUP(20, Data_Source!$A$2:$FC$100, 28, FALSE)="", VLOOKUP(20, Data_Source!$A$2:$FC$100, 28, FALSE)=0), "None", VLOOKUP(20, Data_Source!$A$2:$FC$100, 28, FALSE) &amp; ""), ""))</f>
        <v/>
      </c>
      <c r="D27" s="29" t="str">
        <f>IF(B27="","", IFERROR(IF(OR(VLOOKUP(20, Data_Source!$A$2:$FC$100, 29, FALSE)="", VLOOKUP(20, Data_Source!$A$2:$FC$100, 29, FALSE)=0), "None", VLOOKUP(20, Data_Source!$A$2:$FC$100, 29, FALSE) &amp; ""), ""))</f>
        <v/>
      </c>
      <c r="E27" s="29" t="str">
        <f>IF(B27="","", IFERROR(IF(OR(VLOOKUP(20, Data_Source!$A$2:$FC$100, 157, FALSE)="", VLOOKUP(20, Data_Source!$A$2:$FC$100, 157, FALSE)=0), "None", VLOOKUP(20, Data_Source!$A$2:$FC$100, 157, FALSE) &amp; ""), ""))</f>
        <v/>
      </c>
      <c r="F27" s="29" t="str">
        <f>IF(B27="","", IFERROR(IF(OR(VLOOKUP(20, Data_Source!$A$2:$FC$100, 158, FALSE)="", VLOOKUP(20, Data_Source!$A$2:$FC$100, 158, FALSE)=0), "None", VLOOKUP(20, Data_Source!$A$2:$FC$100, 158, FALSE) &amp; ""), ""))</f>
        <v/>
      </c>
      <c r="G27" s="29" t="str">
        <f>IF(B27="","", IFERROR(IF(OR(VLOOKUP(20,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7" s="29" t="str">
        <f>IF(B27="","", IFERROR(IF(OR(VLOOKUP(20, Data_Source!$A$2:$FC$100, 159, FALSE)="", VLOOKUP(20, Data_Source!$A$2:$FC$100, 159, FALSE)=0), "None", VLOOKUP(20, Data_Source!$A$2:$FC$100, 159, FALSE) &amp; ""), ""))</f>
        <v/>
      </c>
    </row>
    <row r="28" spans="2:8" ht="45" customHeight="1" x14ac:dyDescent="0.35">
      <c r="B28" s="29" t="str">
        <f>IF(ISERROR(MATCH(21, Data_Source!$A$2:$A$100, 0)), "", IFERROR(VLOOKUP(21, Data_Source!$A$2:$FC$100, 3, FALSE) &amp; "", ""))</f>
        <v/>
      </c>
      <c r="C28" s="29" t="str">
        <f>IF(B28="","", IFERROR(IF(OR(VLOOKUP(21, Data_Source!$A$2:$FC$100, 28, FALSE)="", VLOOKUP(21, Data_Source!$A$2:$FC$100, 28, FALSE)=0), "None", VLOOKUP(21, Data_Source!$A$2:$FC$100, 28, FALSE) &amp; ""), ""))</f>
        <v/>
      </c>
      <c r="D28" s="29" t="str">
        <f>IF(B28="","", IFERROR(IF(OR(VLOOKUP(21, Data_Source!$A$2:$FC$100, 29, FALSE)="", VLOOKUP(21, Data_Source!$A$2:$FC$100, 29, FALSE)=0), "None", VLOOKUP(21, Data_Source!$A$2:$FC$100, 29, FALSE) &amp; ""), ""))</f>
        <v/>
      </c>
      <c r="E28" s="29" t="str">
        <f>IF(B28="","", IFERROR(IF(OR(VLOOKUP(21, Data_Source!$A$2:$FC$100, 157, FALSE)="", VLOOKUP(21, Data_Source!$A$2:$FC$100, 157, FALSE)=0), "None", VLOOKUP(21, Data_Source!$A$2:$FC$100, 157, FALSE) &amp; ""), ""))</f>
        <v/>
      </c>
      <c r="F28" s="29" t="str">
        <f>IF(B28="","", IFERROR(IF(OR(VLOOKUP(21, Data_Source!$A$2:$FC$100, 158, FALSE)="", VLOOKUP(21, Data_Source!$A$2:$FC$100, 158, FALSE)=0), "None", VLOOKUP(21, Data_Source!$A$2:$FC$100, 158, FALSE) &amp; ""), ""))</f>
        <v/>
      </c>
      <c r="G28" s="29" t="str">
        <f>IF(B28="","", IFERROR(IF(OR(VLOOKUP(21,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8" s="29" t="str">
        <f>IF(B28="","", IFERROR(IF(OR(VLOOKUP(21, Data_Source!$A$2:$FC$100, 159, FALSE)="", VLOOKUP(21, Data_Source!$A$2:$FC$100, 159, FALSE)=0), "None", VLOOKUP(21, Data_Source!$A$2:$FC$100, 159, FALSE) &amp; ""), ""))</f>
        <v/>
      </c>
    </row>
    <row r="29" spans="2:8" ht="45" customHeight="1" x14ac:dyDescent="0.35">
      <c r="B29" s="29" t="str">
        <f>IF(ISERROR(MATCH(22, Data_Source!$A$2:$A$100, 0)), "", IFERROR(VLOOKUP(22, Data_Source!$A$2:$FC$100, 3, FALSE) &amp; "", ""))</f>
        <v/>
      </c>
      <c r="C29" s="29" t="str">
        <f>IF(B29="","", IFERROR(IF(OR(VLOOKUP(22, Data_Source!$A$2:$FC$100, 28, FALSE)="", VLOOKUP(22, Data_Source!$A$2:$FC$100, 28, FALSE)=0), "None", VLOOKUP(22, Data_Source!$A$2:$FC$100, 28, FALSE) &amp; ""), ""))</f>
        <v/>
      </c>
      <c r="D29" s="29" t="str">
        <f>IF(B29="","", IFERROR(IF(OR(VLOOKUP(22, Data_Source!$A$2:$FC$100, 29, FALSE)="", VLOOKUP(22, Data_Source!$A$2:$FC$100, 29, FALSE)=0), "None", VLOOKUP(22, Data_Source!$A$2:$FC$100, 29, FALSE) &amp; ""), ""))</f>
        <v/>
      </c>
      <c r="E29" s="29" t="str">
        <f>IF(B29="","", IFERROR(IF(OR(VLOOKUP(22, Data_Source!$A$2:$FC$100, 157, FALSE)="", VLOOKUP(22, Data_Source!$A$2:$FC$100, 157, FALSE)=0), "None", VLOOKUP(22, Data_Source!$A$2:$FC$100, 157, FALSE) &amp; ""), ""))</f>
        <v/>
      </c>
      <c r="F29" s="29" t="str">
        <f>IF(B29="","", IFERROR(IF(OR(VLOOKUP(22, Data_Source!$A$2:$FC$100, 158, FALSE)="", VLOOKUP(22, Data_Source!$A$2:$FC$100, 158, FALSE)=0), "None", VLOOKUP(22, Data_Source!$A$2:$FC$100, 158, FALSE) &amp; ""), ""))</f>
        <v/>
      </c>
      <c r="G29" s="29" t="str">
        <f>IF(B29="","", IFERROR(IF(OR(VLOOKUP(22,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29" s="29" t="str">
        <f>IF(B29="","", IFERROR(IF(OR(VLOOKUP(22, Data_Source!$A$2:$FC$100, 159, FALSE)="", VLOOKUP(22, Data_Source!$A$2:$FC$100, 159, FALSE)=0), "None", VLOOKUP(22, Data_Source!$A$2:$FC$100, 159, FALSE) &amp; ""), ""))</f>
        <v/>
      </c>
    </row>
    <row r="30" spans="2:8" ht="45" customHeight="1" x14ac:dyDescent="0.35">
      <c r="B30" s="29" t="str">
        <f>IF(ISERROR(MATCH(23, Data_Source!$A$2:$A$100, 0)), "", IFERROR(VLOOKUP(23, Data_Source!$A$2:$FC$100, 3, FALSE) &amp; "", ""))</f>
        <v/>
      </c>
      <c r="C30" s="29" t="str">
        <f>IF(B30="","", IFERROR(IF(OR(VLOOKUP(23, Data_Source!$A$2:$FC$100, 28, FALSE)="", VLOOKUP(23, Data_Source!$A$2:$FC$100, 28, FALSE)=0), "None", VLOOKUP(23, Data_Source!$A$2:$FC$100, 28, FALSE) &amp; ""), ""))</f>
        <v/>
      </c>
      <c r="D30" s="29" t="str">
        <f>IF(B30="","", IFERROR(IF(OR(VLOOKUP(23, Data_Source!$A$2:$FC$100, 29, FALSE)="", VLOOKUP(23, Data_Source!$A$2:$FC$100, 29, FALSE)=0), "None", VLOOKUP(23, Data_Source!$A$2:$FC$100, 29, FALSE) &amp; ""), ""))</f>
        <v/>
      </c>
      <c r="E30" s="29" t="str">
        <f>IF(B30="","", IFERROR(IF(OR(VLOOKUP(23, Data_Source!$A$2:$FC$100, 157, FALSE)="", VLOOKUP(23, Data_Source!$A$2:$FC$100, 157, FALSE)=0), "None", VLOOKUP(23, Data_Source!$A$2:$FC$100, 157, FALSE) &amp; ""), ""))</f>
        <v/>
      </c>
      <c r="F30" s="29" t="str">
        <f>IF(B30="","", IFERROR(IF(OR(VLOOKUP(23, Data_Source!$A$2:$FC$100, 158, FALSE)="", VLOOKUP(23, Data_Source!$A$2:$FC$100, 158, FALSE)=0), "None", VLOOKUP(23, Data_Source!$A$2:$FC$100, 158, FALSE) &amp; ""), ""))</f>
        <v/>
      </c>
      <c r="G30" s="29" t="str">
        <f>IF(B30="","", IFERROR(IF(OR(VLOOKUP(23,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0" s="29" t="str">
        <f>IF(B30="","", IFERROR(IF(OR(VLOOKUP(23, Data_Source!$A$2:$FC$100, 159, FALSE)="", VLOOKUP(23, Data_Source!$A$2:$FC$100, 159, FALSE)=0), "None", VLOOKUP(23, Data_Source!$A$2:$FC$100, 159, FALSE) &amp; ""), ""))</f>
        <v/>
      </c>
    </row>
    <row r="31" spans="2:8" ht="45" customHeight="1" x14ac:dyDescent="0.35">
      <c r="B31" s="29" t="str">
        <f>IF(ISERROR(MATCH(24, Data_Source!$A$2:$A$100, 0)), "", IFERROR(VLOOKUP(24, Data_Source!$A$2:$FC$100, 3, FALSE) &amp; "", ""))</f>
        <v/>
      </c>
      <c r="C31" s="29" t="str">
        <f>IF(B31="","", IFERROR(IF(OR(VLOOKUP(24, Data_Source!$A$2:$FC$100, 28, FALSE)="", VLOOKUP(24, Data_Source!$A$2:$FC$100, 28, FALSE)=0), "None", VLOOKUP(24, Data_Source!$A$2:$FC$100, 28, FALSE) &amp; ""), ""))</f>
        <v/>
      </c>
      <c r="D31" s="29" t="str">
        <f>IF(B31="","", IFERROR(IF(OR(VLOOKUP(24, Data_Source!$A$2:$FC$100, 29, FALSE)="", VLOOKUP(24, Data_Source!$A$2:$FC$100, 29, FALSE)=0), "None", VLOOKUP(24, Data_Source!$A$2:$FC$100, 29, FALSE) &amp; ""), ""))</f>
        <v/>
      </c>
      <c r="E31" s="29" t="str">
        <f>IF(B31="","", IFERROR(IF(OR(VLOOKUP(24, Data_Source!$A$2:$FC$100, 157, FALSE)="", VLOOKUP(24, Data_Source!$A$2:$FC$100, 157, FALSE)=0), "None", VLOOKUP(24, Data_Source!$A$2:$FC$100, 157, FALSE) &amp; ""), ""))</f>
        <v/>
      </c>
      <c r="F31" s="29" t="str">
        <f>IF(B31="","", IFERROR(IF(OR(VLOOKUP(24, Data_Source!$A$2:$FC$100, 158, FALSE)="", VLOOKUP(24, Data_Source!$A$2:$FC$100, 158, FALSE)=0), "None", VLOOKUP(24, Data_Source!$A$2:$FC$100, 158, FALSE) &amp; ""), ""))</f>
        <v/>
      </c>
      <c r="G31" s="29" t="str">
        <f>IF(B31="","", IFERROR(IF(OR(VLOOKUP(24,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1" s="29" t="str">
        <f>IF(B31="","", IFERROR(IF(OR(VLOOKUP(24, Data_Source!$A$2:$FC$100, 159, FALSE)="", VLOOKUP(24, Data_Source!$A$2:$FC$100, 159, FALSE)=0), "None", VLOOKUP(24, Data_Source!$A$2:$FC$100, 159, FALSE) &amp; ""), ""))</f>
        <v/>
      </c>
    </row>
    <row r="32" spans="2:8" ht="45" customHeight="1" x14ac:dyDescent="0.35">
      <c r="B32" s="29" t="str">
        <f>IF(ISERROR(MATCH(25, Data_Source!$A$2:$A$100, 0)), "", IFERROR(VLOOKUP(25, Data_Source!$A$2:$FC$100, 3, FALSE) &amp; "", ""))</f>
        <v/>
      </c>
      <c r="C32" s="29" t="str">
        <f>IF(B32="","", IFERROR(IF(OR(VLOOKUP(25, Data_Source!$A$2:$FC$100, 28, FALSE)="", VLOOKUP(25, Data_Source!$A$2:$FC$100, 28, FALSE)=0), "None", VLOOKUP(25, Data_Source!$A$2:$FC$100, 28, FALSE) &amp; ""), ""))</f>
        <v/>
      </c>
      <c r="D32" s="29" t="str">
        <f>IF(B32="","", IFERROR(IF(OR(VLOOKUP(25, Data_Source!$A$2:$FC$100, 29, FALSE)="", VLOOKUP(25, Data_Source!$A$2:$FC$100, 29, FALSE)=0), "None", VLOOKUP(25, Data_Source!$A$2:$FC$100, 29, FALSE) &amp; ""), ""))</f>
        <v/>
      </c>
      <c r="E32" s="29" t="str">
        <f>IF(B32="","", IFERROR(IF(OR(VLOOKUP(25, Data_Source!$A$2:$FC$100, 157, FALSE)="", VLOOKUP(25, Data_Source!$A$2:$FC$100, 157, FALSE)=0), "None", VLOOKUP(25, Data_Source!$A$2:$FC$100, 157, FALSE) &amp; ""), ""))</f>
        <v/>
      </c>
      <c r="F32" s="29" t="str">
        <f>IF(B32="","", IFERROR(IF(OR(VLOOKUP(25, Data_Source!$A$2:$FC$100, 158, FALSE)="", VLOOKUP(25, Data_Source!$A$2:$FC$100, 158, FALSE)=0), "None", VLOOKUP(25, Data_Source!$A$2:$FC$100, 158, FALSE) &amp; ""), ""))</f>
        <v/>
      </c>
      <c r="G32" s="29" t="str">
        <f>IF(B32="","", IFERROR(IF(OR(VLOOKUP(25,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2" s="29" t="str">
        <f>IF(B32="","", IFERROR(IF(OR(VLOOKUP(25, Data_Source!$A$2:$FC$100, 159, FALSE)="", VLOOKUP(25, Data_Source!$A$2:$FC$100, 159, FALSE)=0), "None", VLOOKUP(25, Data_Source!$A$2:$FC$100, 159, FALSE) &amp; ""), ""))</f>
        <v/>
      </c>
    </row>
    <row r="33" spans="2:8" ht="45" customHeight="1" x14ac:dyDescent="0.35">
      <c r="B33" s="29" t="str">
        <f>IF(ISERROR(MATCH(26, Data_Source!$A$2:$A$100, 0)), "", IFERROR(VLOOKUP(26, Data_Source!$A$2:$FC$100, 3, FALSE) &amp; "", ""))</f>
        <v/>
      </c>
      <c r="C33" s="29" t="str">
        <f>IF(B33="","", IFERROR(IF(OR(VLOOKUP(26, Data_Source!$A$2:$FC$100, 28, FALSE)="", VLOOKUP(26, Data_Source!$A$2:$FC$100, 28, FALSE)=0), "None", VLOOKUP(26, Data_Source!$A$2:$FC$100, 28, FALSE) &amp; ""), ""))</f>
        <v/>
      </c>
      <c r="D33" s="29" t="str">
        <f>IF(B33="","", IFERROR(IF(OR(VLOOKUP(26, Data_Source!$A$2:$FC$100, 29, FALSE)="", VLOOKUP(26, Data_Source!$A$2:$FC$100, 29, FALSE)=0), "None", VLOOKUP(26, Data_Source!$A$2:$FC$100, 29, FALSE) &amp; ""), ""))</f>
        <v/>
      </c>
      <c r="E33" s="29" t="str">
        <f>IF(B33="","", IFERROR(IF(OR(VLOOKUP(26, Data_Source!$A$2:$FC$100, 157, FALSE)="", VLOOKUP(26, Data_Source!$A$2:$FC$100, 157, FALSE)=0), "None", VLOOKUP(26, Data_Source!$A$2:$FC$100, 157, FALSE) &amp; ""), ""))</f>
        <v/>
      </c>
      <c r="F33" s="29" t="str">
        <f>IF(B33="","", IFERROR(IF(OR(VLOOKUP(26, Data_Source!$A$2:$FC$100, 158, FALSE)="", VLOOKUP(26, Data_Source!$A$2:$FC$100, 158, FALSE)=0), "None", VLOOKUP(26, Data_Source!$A$2:$FC$100, 158, FALSE) &amp; ""), ""))</f>
        <v/>
      </c>
      <c r="G33" s="29" t="str">
        <f>IF(B33="","", IFERROR(IF(OR(VLOOKUP(26,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VLOOKUP(26,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3" s="29" t="str">
        <f>IF(B33="","", IFERROR(IF(OR(VLOOKUP(26, Data_Source!$A$2:$FC$100, 159, FALSE)="", VLOOKUP(26, Data_Source!$A$2:$FC$100, 159, FALSE)=0), "None", VLOOKUP(26, Data_Source!$A$2:$FC$100, 159, FALSE) &amp; ""), ""))</f>
        <v/>
      </c>
    </row>
    <row r="34" spans="2:8" ht="45" customHeight="1" x14ac:dyDescent="0.35">
      <c r="B34" s="29" t="str">
        <f>IF(ISERROR(MATCH(27, Data_Source!$A$2:$A$100, 0)), "", IFERROR(VLOOKUP(27, Data_Source!$A$2:$FC$100, 3, FALSE) &amp; "", ""))</f>
        <v/>
      </c>
      <c r="C34" s="29" t="str">
        <f>IF(B34="","", IFERROR(IF(OR(VLOOKUP(27, Data_Source!$A$2:$FC$100, 28, FALSE)="", VLOOKUP(27, Data_Source!$A$2:$FC$100, 28, FALSE)=0), "None", VLOOKUP(27, Data_Source!$A$2:$FC$100, 28, FALSE) &amp; ""), ""))</f>
        <v/>
      </c>
      <c r="D34" s="29" t="str">
        <f>IF(B34="","", IFERROR(IF(OR(VLOOKUP(27, Data_Source!$A$2:$FC$100, 29, FALSE)="", VLOOKUP(27, Data_Source!$A$2:$FC$100, 29, FALSE)=0), "None", VLOOKUP(27, Data_Source!$A$2:$FC$100, 29, FALSE) &amp; ""), ""))</f>
        <v/>
      </c>
      <c r="E34" s="29" t="str">
        <f>IF(B34="","", IFERROR(IF(OR(VLOOKUP(27, Data_Source!$A$2:$FC$100, 157, FALSE)="", VLOOKUP(27, Data_Source!$A$2:$FC$100, 157, FALSE)=0), "None", VLOOKUP(27, Data_Source!$A$2:$FC$100, 157, FALSE) &amp; ""), ""))</f>
        <v/>
      </c>
      <c r="F34" s="29" t="str">
        <f>IF(B34="","", IFERROR(IF(OR(VLOOKUP(27, Data_Source!$A$2:$FC$100, 158, FALSE)="", VLOOKUP(27, Data_Source!$A$2:$FC$100, 158, FALSE)=0), "None", VLOOKUP(27, Data_Source!$A$2:$FC$100, 158, FALSE) &amp; ""), ""))</f>
        <v/>
      </c>
      <c r="G34" s="29" t="str">
        <f>IF(B34="","", IFERROR(IF(OR(VLOOKUP(27,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VLOOKUP(27,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4" s="29" t="str">
        <f>IF(B34="","", IFERROR(IF(OR(VLOOKUP(27, Data_Source!$A$2:$FC$100, 159, FALSE)="", VLOOKUP(27, Data_Source!$A$2:$FC$100, 159, FALSE)=0), "None", VLOOKUP(27, Data_Source!$A$2:$FC$100, 159, FALSE) &amp; ""), ""))</f>
        <v/>
      </c>
    </row>
    <row r="35" spans="2:8" ht="45" customHeight="1" x14ac:dyDescent="0.35">
      <c r="B35" s="29" t="str">
        <f>IF(ISERROR(MATCH(28, Data_Source!$A$2:$A$100, 0)), "", IFERROR(VLOOKUP(28, Data_Source!$A$2:$FC$100, 3, FALSE) &amp; "", ""))</f>
        <v/>
      </c>
      <c r="C35" s="29" t="str">
        <f>IF(B35="","", IFERROR(IF(OR(VLOOKUP(28, Data_Source!$A$2:$FC$100, 28, FALSE)="", VLOOKUP(28, Data_Source!$A$2:$FC$100, 28, FALSE)=0), "None", VLOOKUP(28, Data_Source!$A$2:$FC$100, 28, FALSE) &amp; ""), ""))</f>
        <v/>
      </c>
      <c r="D35" s="29" t="str">
        <f>IF(B35="","", IFERROR(IF(OR(VLOOKUP(28, Data_Source!$A$2:$FC$100, 29, FALSE)="", VLOOKUP(28, Data_Source!$A$2:$FC$100, 29, FALSE)=0), "None", VLOOKUP(28, Data_Source!$A$2:$FC$100, 29, FALSE) &amp; ""), ""))</f>
        <v/>
      </c>
      <c r="E35" s="29" t="str">
        <f>IF(B35="","", IFERROR(IF(OR(VLOOKUP(28, Data_Source!$A$2:$FC$100, 157, FALSE)="", VLOOKUP(28, Data_Source!$A$2:$FC$100, 157, FALSE)=0), "None", VLOOKUP(28, Data_Source!$A$2:$FC$100, 157, FALSE) &amp; ""), ""))</f>
        <v/>
      </c>
      <c r="F35" s="29" t="str">
        <f>IF(B35="","", IFERROR(IF(OR(VLOOKUP(28, Data_Source!$A$2:$FC$100, 158, FALSE)="", VLOOKUP(28, Data_Source!$A$2:$FC$100, 158, FALSE)=0), "None", VLOOKUP(28, Data_Source!$A$2:$FC$100, 158, FALSE) &amp; ""), ""))</f>
        <v/>
      </c>
      <c r="G35" s="29" t="str">
        <f>IF(B35="","", IFERROR(IF(OR(VLOOKUP(28,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VLOOKUP(28,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5" s="29" t="str">
        <f>IF(B35="","", IFERROR(IF(OR(VLOOKUP(28, Data_Source!$A$2:$FC$100, 159, FALSE)="", VLOOKUP(28, Data_Source!$A$2:$FC$100, 159, FALSE)=0), "None", VLOOKUP(28, Data_Source!$A$2:$FC$100, 159, FALSE) &amp; ""), ""))</f>
        <v/>
      </c>
    </row>
    <row r="36" spans="2:8" ht="45" customHeight="1" x14ac:dyDescent="0.35">
      <c r="B36" s="29" t="str">
        <f>IF(ISERROR(MATCH(29, Data_Source!$A$2:$A$100, 0)), "", IFERROR(VLOOKUP(29, Data_Source!$A$2:$FC$100, 3, FALSE) &amp; "", ""))</f>
        <v/>
      </c>
      <c r="C36" s="29" t="str">
        <f>IF(B36="","", IFERROR(IF(OR(VLOOKUP(29, Data_Source!$A$2:$FC$100, 28, FALSE)="", VLOOKUP(29, Data_Source!$A$2:$FC$100, 28, FALSE)=0), "None", VLOOKUP(29, Data_Source!$A$2:$FC$100, 28, FALSE) &amp; ""), ""))</f>
        <v/>
      </c>
      <c r="D36" s="29" t="str">
        <f>IF(B36="","", IFERROR(IF(OR(VLOOKUP(29, Data_Source!$A$2:$FC$100, 29, FALSE)="", VLOOKUP(29, Data_Source!$A$2:$FC$100, 29, FALSE)=0), "None", VLOOKUP(29, Data_Source!$A$2:$FC$100, 29, FALSE) &amp; ""), ""))</f>
        <v/>
      </c>
      <c r="E36" s="29" t="str">
        <f>IF(B36="","", IFERROR(IF(OR(VLOOKUP(29, Data_Source!$A$2:$FC$100, 157, FALSE)="", VLOOKUP(29, Data_Source!$A$2:$FC$100, 157, FALSE)=0), "None", VLOOKUP(29, Data_Source!$A$2:$FC$100, 157, FALSE) &amp; ""), ""))</f>
        <v/>
      </c>
      <c r="F36" s="29" t="str">
        <f>IF(B36="","", IFERROR(IF(OR(VLOOKUP(29, Data_Source!$A$2:$FC$100, 158, FALSE)="", VLOOKUP(29, Data_Source!$A$2:$FC$100, 158, FALSE)=0), "None", VLOOKUP(29, Data_Source!$A$2:$FC$100, 158, FALSE) &amp; ""), ""))</f>
        <v/>
      </c>
      <c r="G36" s="29" t="str">
        <f>IF(B36="","", IFERROR(IF(OR(VLOOKUP(29,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VLOOKUP(29,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VLOOKUP(29,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6" s="29" t="str">
        <f>IF(B36="","", IFERROR(IF(OR(VLOOKUP(29, Data_Source!$A$2:$FC$100, 159, FALSE)="", VLOOKUP(29, Data_Source!$A$2:$FC$100, 159, FALSE)=0), "None", VLOOKUP(29, Data_Source!$A$2:$FC$100, 159, FALSE) &amp; ""), ""))</f>
        <v/>
      </c>
    </row>
    <row r="37" spans="2:8" ht="45" customHeight="1" x14ac:dyDescent="0.35">
      <c r="B37" s="29" t="str">
        <f>IF(ISERROR(MATCH(30, Data_Source!$A$2:$A$100, 0)), "", IFERROR(VLOOKUP(30, Data_Source!$A$2:$FC$100, 3, FALSE) &amp; "", ""))</f>
        <v/>
      </c>
      <c r="C37" s="29" t="str">
        <f>IF(B37="","", IFERROR(IF(OR(VLOOKUP(30, Data_Source!$A$2:$FC$100, 28, FALSE)="", VLOOKUP(30, Data_Source!$A$2:$FC$100, 28, FALSE)=0), "None", VLOOKUP(30, Data_Source!$A$2:$FC$100, 28, FALSE) &amp; ""), ""))</f>
        <v/>
      </c>
      <c r="D37" s="29" t="str">
        <f>IF(B37="","", IFERROR(IF(OR(VLOOKUP(30, Data_Source!$A$2:$FC$100, 29, FALSE)="", VLOOKUP(30, Data_Source!$A$2:$FC$100, 29, FALSE)=0), "None", VLOOKUP(30, Data_Source!$A$2:$FC$100, 29, FALSE) &amp; ""), ""))</f>
        <v/>
      </c>
      <c r="E37" s="29" t="str">
        <f>IF(B37="","", IFERROR(IF(OR(VLOOKUP(30, Data_Source!$A$2:$FC$100, 157, FALSE)="", VLOOKUP(30, Data_Source!$A$2:$FC$100, 157, FALSE)=0), "None", VLOOKUP(30, Data_Source!$A$2:$FC$100, 157, FALSE) &amp; ""), ""))</f>
        <v/>
      </c>
      <c r="F37" s="29" t="str">
        <f>IF(B37="","", IFERROR(IF(OR(VLOOKUP(30, Data_Source!$A$2:$FC$100, 158, FALSE)="", VLOOKUP(30, Data_Source!$A$2:$FC$100, 158, FALSE)=0), "None", VLOOKUP(30, Data_Source!$A$2:$FC$100, 158, FALSE) &amp; ""), ""))</f>
        <v/>
      </c>
      <c r="G37" s="29" t="str">
        <f>IF(B37="","", IFERROR(IF(OR(VLOOKUP(30,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VLOOKUP(30,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VLOOKUP(30,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7" s="29" t="str">
        <f>IF(B37="","", IFERROR(IF(OR(VLOOKUP(30, Data_Source!$A$2:$FC$100, 159, FALSE)="", VLOOKUP(30, Data_Source!$A$2:$FC$100, 159, FALSE)=0), "None", VLOOKUP(30, Data_Source!$A$2:$FC$100, 159, FALSE) &amp; ""), ""))</f>
        <v/>
      </c>
    </row>
    <row r="38" spans="2:8" ht="45" customHeight="1" x14ac:dyDescent="0.35">
      <c r="B38" s="29" t="str">
        <f>IF(ISERROR(MATCH(31, Data_Source!$A$2:$A$100, 0)), "", IFERROR(VLOOKUP(31, Data_Source!$A$2:$FC$100, 3, FALSE) &amp; "", ""))</f>
        <v/>
      </c>
      <c r="C38" s="29" t="str">
        <f>IF(B38="","", IFERROR(IF(OR(VLOOKUP(31, Data_Source!$A$2:$FC$100, 28, FALSE)="", VLOOKUP(31, Data_Source!$A$2:$FC$100, 28, FALSE)=0), "None", VLOOKUP(31, Data_Source!$A$2:$FC$100, 28, FALSE) &amp; ""), ""))</f>
        <v/>
      </c>
      <c r="D38" s="29" t="str">
        <f>IF(B38="","", IFERROR(IF(OR(VLOOKUP(31, Data_Source!$A$2:$FC$100, 29, FALSE)="", VLOOKUP(31, Data_Source!$A$2:$FC$100, 29, FALSE)=0), "None", VLOOKUP(31, Data_Source!$A$2:$FC$100, 29, FALSE) &amp; ""), ""))</f>
        <v/>
      </c>
      <c r="E38" s="29" t="str">
        <f>IF(B38="","", IFERROR(IF(OR(VLOOKUP(31, Data_Source!$A$2:$FC$100, 157, FALSE)="", VLOOKUP(31, Data_Source!$A$2:$FC$100, 157, FALSE)=0), "None", VLOOKUP(31, Data_Source!$A$2:$FC$100, 157, FALSE) &amp; ""), ""))</f>
        <v/>
      </c>
      <c r="F38" s="29" t="str">
        <f>IF(B38="","", IFERROR(IF(OR(VLOOKUP(31, Data_Source!$A$2:$FC$100, 158, FALSE)="", VLOOKUP(31, Data_Source!$A$2:$FC$100, 158, FALSE)=0), "None", VLOOKUP(31, Data_Source!$A$2:$FC$100, 158, FALSE) &amp; ""), ""))</f>
        <v/>
      </c>
      <c r="G38" s="29" t="str">
        <f>IF(B38="","", IFERROR(IF(OR(VLOOKUP(31,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VLOOKUP(31,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VLOOKUP(31,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8" s="29" t="str">
        <f>IF(B38="","", IFERROR(IF(OR(VLOOKUP(31, Data_Source!$A$2:$FC$100, 159, FALSE)="", VLOOKUP(31, Data_Source!$A$2:$FC$100, 159, FALSE)=0), "None", VLOOKUP(31, Data_Source!$A$2:$FC$100, 159, FALSE) &amp; ""), ""))</f>
        <v/>
      </c>
    </row>
    <row r="39" spans="2:8" ht="45" customHeight="1" x14ac:dyDescent="0.35">
      <c r="B39" s="29" t="str">
        <f>IF(ISERROR(MATCH(32, Data_Source!$A$2:$A$100, 0)), "", IFERROR(VLOOKUP(32, Data_Source!$A$2:$FC$100, 3, FALSE) &amp; "", ""))</f>
        <v/>
      </c>
      <c r="C39" s="29" t="str">
        <f>IF(B39="","", IFERROR(IF(OR(VLOOKUP(32, Data_Source!$A$2:$FC$100, 28, FALSE)="", VLOOKUP(32, Data_Source!$A$2:$FC$100, 28, FALSE)=0), "None", VLOOKUP(32, Data_Source!$A$2:$FC$100, 28, FALSE) &amp; ""), ""))</f>
        <v/>
      </c>
      <c r="D39" s="29" t="str">
        <f>IF(B39="","", IFERROR(IF(OR(VLOOKUP(32, Data_Source!$A$2:$FC$100, 29, FALSE)="", VLOOKUP(32, Data_Source!$A$2:$FC$100, 29, FALSE)=0), "None", VLOOKUP(32, Data_Source!$A$2:$FC$100, 29, FALSE) &amp; ""), ""))</f>
        <v/>
      </c>
      <c r="E39" s="29" t="str">
        <f>IF(B39="","", IFERROR(IF(OR(VLOOKUP(32, Data_Source!$A$2:$FC$100, 157, FALSE)="", VLOOKUP(32, Data_Source!$A$2:$FC$100, 157, FALSE)=0), "None", VLOOKUP(32, Data_Source!$A$2:$FC$100, 157, FALSE) &amp; ""), ""))</f>
        <v/>
      </c>
      <c r="F39" s="29" t="str">
        <f>IF(B39="","", IFERROR(IF(OR(VLOOKUP(32, Data_Source!$A$2:$FC$100, 158, FALSE)="", VLOOKUP(32, Data_Source!$A$2:$FC$100, 158, FALSE)=0), "None", VLOOKUP(32, Data_Source!$A$2:$FC$100, 158, FALSE) &amp; ""), ""))</f>
        <v/>
      </c>
      <c r="G39" s="29" t="str">
        <f>IF(B39="","", IFERROR(IF(OR(VLOOKUP(32,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VLOOKUP(32,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VLOOKUP(32,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39" s="29" t="str">
        <f>IF(B39="","", IFERROR(IF(OR(VLOOKUP(32, Data_Source!$A$2:$FC$100, 159, FALSE)="", VLOOKUP(32, Data_Source!$A$2:$FC$100, 159, FALSE)=0), "None", VLOOKUP(32, Data_Source!$A$2:$FC$100, 159, FALSE) &amp; ""), ""))</f>
        <v/>
      </c>
    </row>
    <row r="40" spans="2:8" ht="45" customHeight="1" x14ac:dyDescent="0.35">
      <c r="B40" s="29" t="str">
        <f>IF(ISERROR(MATCH(33, Data_Source!$A$2:$A$100, 0)), "", IFERROR(VLOOKUP(33, Data_Source!$A$2:$FC$100, 3, FALSE) &amp; "", ""))</f>
        <v/>
      </c>
      <c r="C40" s="29" t="str">
        <f>IF(B40="","", IFERROR(IF(OR(VLOOKUP(33, Data_Source!$A$2:$FC$100, 28, FALSE)="", VLOOKUP(33, Data_Source!$A$2:$FC$100, 28, FALSE)=0), "None", VLOOKUP(33, Data_Source!$A$2:$FC$100, 28, FALSE) &amp; ""), ""))</f>
        <v/>
      </c>
      <c r="D40" s="29" t="str">
        <f>IF(B40="","", IFERROR(IF(OR(VLOOKUP(33, Data_Source!$A$2:$FC$100, 29, FALSE)="", VLOOKUP(33, Data_Source!$A$2:$FC$100, 29, FALSE)=0), "None", VLOOKUP(33, Data_Source!$A$2:$FC$100, 29, FALSE) &amp; ""), ""))</f>
        <v/>
      </c>
      <c r="E40" s="29" t="str">
        <f>IF(B40="","", IFERROR(IF(OR(VLOOKUP(33, Data_Source!$A$2:$FC$100, 157, FALSE)="", VLOOKUP(33, Data_Source!$A$2:$FC$100, 157, FALSE)=0), "None", VLOOKUP(33, Data_Source!$A$2:$FC$100, 157, FALSE) &amp; ""), ""))</f>
        <v/>
      </c>
      <c r="F40" s="29" t="str">
        <f>IF(B40="","", IFERROR(IF(OR(VLOOKUP(33, Data_Source!$A$2:$FC$100, 158, FALSE)="", VLOOKUP(33, Data_Source!$A$2:$FC$100, 158, FALSE)=0), "None", VLOOKUP(33, Data_Source!$A$2:$FC$100, 158, FALSE) &amp; ""), ""))</f>
        <v/>
      </c>
      <c r="G40" s="29" t="str">
        <f>IF(B40="","", IFERROR(IF(OR(VLOOKUP(33,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VLOOKUP(33,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VLOOKUP(33,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40" s="29" t="str">
        <f>IF(B40="","", IFERROR(IF(OR(VLOOKUP(33, Data_Source!$A$2:$FC$100, 159, FALSE)="", VLOOKUP(33, Data_Source!$A$2:$FC$100, 159, FALSE)=0), "None", VLOOKUP(33, Data_Source!$A$2:$FC$100, 159, FALSE) &amp; ""), ""))</f>
        <v/>
      </c>
    </row>
    <row r="41" spans="2:8" ht="45" customHeight="1" x14ac:dyDescent="0.35">
      <c r="B41" s="29" t="str">
        <f>IF(ISERROR(MATCH(34, Data_Source!$A$2:$A$100, 0)), "", IFERROR(VLOOKUP(34, Data_Source!$A$2:$FC$100, 3, FALSE) &amp; "", ""))</f>
        <v/>
      </c>
      <c r="C41" s="29" t="str">
        <f>IF(B41="","", IFERROR(IF(OR(VLOOKUP(34, Data_Source!$A$2:$FC$100, 28, FALSE)="", VLOOKUP(34, Data_Source!$A$2:$FC$100, 28, FALSE)=0), "None", VLOOKUP(34, Data_Source!$A$2:$FC$100, 28, FALSE) &amp; ""), ""))</f>
        <v/>
      </c>
      <c r="D41" s="29" t="str">
        <f>IF(B41="","", IFERROR(IF(OR(VLOOKUP(34, Data_Source!$A$2:$FC$100, 29, FALSE)="", VLOOKUP(34, Data_Source!$A$2:$FC$100, 29, FALSE)=0), "None", VLOOKUP(34, Data_Source!$A$2:$FC$100, 29, FALSE) &amp; ""), ""))</f>
        <v/>
      </c>
      <c r="E41" s="29" t="str">
        <f>IF(B41="","", IFERROR(IF(OR(VLOOKUP(34, Data_Source!$A$2:$FC$100, 157, FALSE)="", VLOOKUP(34, Data_Source!$A$2:$FC$100, 157, FALSE)=0), "None", VLOOKUP(34, Data_Source!$A$2:$FC$100, 157, FALSE) &amp; ""), ""))</f>
        <v/>
      </c>
      <c r="F41" s="29" t="str">
        <f>IF(B41="","", IFERROR(IF(OR(VLOOKUP(34, Data_Source!$A$2:$FC$100, 158, FALSE)="", VLOOKUP(34, Data_Source!$A$2:$FC$100, 158, FALSE)=0), "None", VLOOKUP(34, Data_Source!$A$2:$FC$100, 158, FALSE) &amp; ""), ""))</f>
        <v/>
      </c>
      <c r="G41" s="29" t="str">
        <f>IF(B41="","", IFERROR(IF(OR(VLOOKUP(34,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VLOOKUP(34,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VLOOKUP(34,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41" s="29" t="str">
        <f>IF(B41="","", IFERROR(IF(OR(VLOOKUP(34, Data_Source!$A$2:$FC$100, 159, FALSE)="", VLOOKUP(34, Data_Source!$A$2:$FC$100, 159, FALSE)=0), "None", VLOOKUP(34, Data_Source!$A$2:$FC$100, 159, FALSE) &amp; ""), ""))</f>
        <v/>
      </c>
    </row>
    <row r="42" spans="2:8" ht="45" customHeight="1" x14ac:dyDescent="0.35">
      <c r="B42" s="29" t="str">
        <f>IF(ISERROR(MATCH(35, Data_Source!$A$2:$A$100, 0)), "", IFERROR(VLOOKUP(35, Data_Source!$A$2:$FC$100, 3, FALSE) &amp; "", ""))</f>
        <v/>
      </c>
      <c r="C42" s="29" t="str">
        <f>IF(B42="","", IFERROR(IF(OR(VLOOKUP(35, Data_Source!$A$2:$FC$100, 28, FALSE)="", VLOOKUP(35, Data_Source!$A$2:$FC$100, 28, FALSE)=0), "None", VLOOKUP(35, Data_Source!$A$2:$FC$100, 28, FALSE) &amp; ""), ""))</f>
        <v/>
      </c>
      <c r="D42" s="29" t="str">
        <f>IF(B42="","", IFERROR(IF(OR(VLOOKUP(35, Data_Source!$A$2:$FC$100, 29, FALSE)="", VLOOKUP(35, Data_Source!$A$2:$FC$100, 29, FALSE)=0), "None", VLOOKUP(35, Data_Source!$A$2:$FC$100, 29, FALSE) &amp; ""), ""))</f>
        <v/>
      </c>
      <c r="E42" s="29" t="str">
        <f>IF(B42="","", IFERROR(IF(OR(VLOOKUP(35, Data_Source!$A$2:$FC$100, 157, FALSE)="", VLOOKUP(35, Data_Source!$A$2:$FC$100, 157, FALSE)=0), "None", VLOOKUP(35, Data_Source!$A$2:$FC$100, 157, FALSE) &amp; ""), ""))</f>
        <v/>
      </c>
      <c r="F42" s="29" t="str">
        <f>IF(B42="","", IFERROR(IF(OR(VLOOKUP(35, Data_Source!$A$2:$FC$100, 158, FALSE)="", VLOOKUP(35, Data_Source!$A$2:$FC$100, 158, FALSE)=0), "None", VLOOKUP(35, Data_Source!$A$2:$FC$100, 158, FALSE) &amp; ""), ""))</f>
        <v/>
      </c>
      <c r="G42" s="29" t="str">
        <f>IF(B42="","", IFERROR(IF(OR(VLOOKUP(35,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VLOOKUP(35,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FALSE)=0), "None", VLOOKUP(35, Data_Source!$A$2:$FC$100, IF('Bộ lọc theo Ngành'!$C$5="CHUYÊN NGÀNH CƠ KHÍ NÔNG LÂM", 60, IF('Bộ lọc theo Ngành'!$C$5="CƠ KHÍ CHẾ BIẾN VÀ BẢO QUẢN NÔNG SẢN THỰC PHẨM", 73, IF('Bộ lọc theo Ngành'!$C$5="CÔNG NGHỆ KỸ THUẬT CƠ KHÍ - CHƯƠNG TRÌNH NÂNG CAO", 86, IF('Bộ lọc theo Ngành'!$C$5="CÔNG NGHỆ KỸ THUẬT Ô TÔ", 99, IF('Bộ lọc theo Ngành'!$C$5="CÔNG NGHỆ KỸ THUẬT CƠ ĐIỆN TỬ", 112, IF('Bộ lọc theo Ngành'!$C$5="CÔNG NGHỆ KỸ THUẬT NHIỆT", 125, IF('Bộ lọc theo Ngành'!$C$5="KỸ THUẬT ĐIỀU KHIỂN VÀ TỰ ĐỘNG HÓA", 138, IF('Bộ lọc theo Ngành'!$C$5="CÔNG NGHỆ KỸ THUẬT NĂNG LƯỢNG TÁI TẠO", 151, 159)))))))), FALSE) &amp; ""), ""))</f>
        <v/>
      </c>
      <c r="H42" s="29" t="str">
        <f>IF(B42="","", IFERROR(IF(OR(VLOOKUP(35, Data_Source!$A$2:$FC$100, 159, FALSE)="", VLOOKUP(35, Data_Source!$A$2:$FC$100, 159, FALSE)=0), "None", VLOOKUP(35, Data_Source!$A$2:$FC$100, 159, FALSE) &amp; ""), ""))</f>
        <v/>
      </c>
    </row>
  </sheetData>
  <conditionalFormatting sqref="B8:H8">
    <cfRule type="expression" dxfId="34" priority="1">
      <formula>$B$8&lt;&gt;""</formula>
    </cfRule>
  </conditionalFormatting>
  <conditionalFormatting sqref="B9:H9">
    <cfRule type="expression" dxfId="33" priority="2">
      <formula>$B$9&lt;&gt;""</formula>
    </cfRule>
  </conditionalFormatting>
  <conditionalFormatting sqref="B10:H10">
    <cfRule type="expression" dxfId="32" priority="3">
      <formula>$B$10&lt;&gt;""</formula>
    </cfRule>
  </conditionalFormatting>
  <conditionalFormatting sqref="B11:H11">
    <cfRule type="expression" dxfId="31" priority="4">
      <formula>$B$11&lt;&gt;""</formula>
    </cfRule>
  </conditionalFormatting>
  <conditionalFormatting sqref="B12:H12">
    <cfRule type="expression" dxfId="30" priority="5">
      <formula>$B$12&lt;&gt;""</formula>
    </cfRule>
  </conditionalFormatting>
  <conditionalFormatting sqref="B13:H13">
    <cfRule type="expression" dxfId="29" priority="6">
      <formula>$B$13&lt;&gt;""</formula>
    </cfRule>
  </conditionalFormatting>
  <conditionalFormatting sqref="B14:H14">
    <cfRule type="expression" dxfId="28" priority="7">
      <formula>$B$14&lt;&gt;""</formula>
    </cfRule>
  </conditionalFormatting>
  <conditionalFormatting sqref="B15:H15">
    <cfRule type="expression" dxfId="27" priority="8">
      <formula>$B$15&lt;&gt;""</formula>
    </cfRule>
  </conditionalFormatting>
  <conditionalFormatting sqref="B16:H16">
    <cfRule type="expression" dxfId="26" priority="9">
      <formula>$B$16&lt;&gt;""</formula>
    </cfRule>
  </conditionalFormatting>
  <conditionalFormatting sqref="B17:H17">
    <cfRule type="expression" dxfId="25" priority="10">
      <formula>$B$17&lt;&gt;""</formula>
    </cfRule>
  </conditionalFormatting>
  <conditionalFormatting sqref="B18:H18">
    <cfRule type="expression" dxfId="24" priority="11">
      <formula>$B$18&lt;&gt;""</formula>
    </cfRule>
  </conditionalFormatting>
  <conditionalFormatting sqref="B19:H19">
    <cfRule type="expression" dxfId="23" priority="12">
      <formula>$B$19&lt;&gt;""</formula>
    </cfRule>
  </conditionalFormatting>
  <conditionalFormatting sqref="B20:H20">
    <cfRule type="expression" dxfId="22" priority="13">
      <formula>$B$20&lt;&gt;""</formula>
    </cfRule>
  </conditionalFormatting>
  <conditionalFormatting sqref="B21:H21">
    <cfRule type="expression" dxfId="21" priority="14">
      <formula>$B$21&lt;&gt;""</formula>
    </cfRule>
  </conditionalFormatting>
  <conditionalFormatting sqref="B22:H22">
    <cfRule type="expression" dxfId="20" priority="15">
      <formula>$B$22&lt;&gt;""</formula>
    </cfRule>
  </conditionalFormatting>
  <conditionalFormatting sqref="B23:H23">
    <cfRule type="expression" dxfId="19" priority="16">
      <formula>$B$23&lt;&gt;""</formula>
    </cfRule>
  </conditionalFormatting>
  <conditionalFormatting sqref="B24:H24">
    <cfRule type="expression" dxfId="18" priority="17">
      <formula>$B$24&lt;&gt;""</formula>
    </cfRule>
  </conditionalFormatting>
  <conditionalFormatting sqref="B25:H25">
    <cfRule type="expression" dxfId="17" priority="18">
      <formula>$B$25&lt;&gt;""</formula>
    </cfRule>
  </conditionalFormatting>
  <conditionalFormatting sqref="B26:H26">
    <cfRule type="expression" dxfId="16" priority="19">
      <formula>$B$26&lt;&gt;""</formula>
    </cfRule>
  </conditionalFormatting>
  <conditionalFormatting sqref="B27:H27">
    <cfRule type="expression" dxfId="15" priority="20">
      <formula>$B$27&lt;&gt;""</formula>
    </cfRule>
  </conditionalFormatting>
  <conditionalFormatting sqref="B28:H28">
    <cfRule type="expression" dxfId="14" priority="21">
      <formula>$B$28&lt;&gt;""</formula>
    </cfRule>
  </conditionalFormatting>
  <conditionalFormatting sqref="B29:H29">
    <cfRule type="expression" dxfId="13" priority="22">
      <formula>$B$29&lt;&gt;""</formula>
    </cfRule>
  </conditionalFormatting>
  <conditionalFormatting sqref="B30:H30">
    <cfRule type="expression" dxfId="12" priority="23">
      <formula>$B$30&lt;&gt;""</formula>
    </cfRule>
  </conditionalFormatting>
  <conditionalFormatting sqref="B31:H31">
    <cfRule type="expression" dxfId="11" priority="24">
      <formula>$B$31&lt;&gt;""</formula>
    </cfRule>
  </conditionalFormatting>
  <conditionalFormatting sqref="B32:H32">
    <cfRule type="expression" dxfId="10" priority="25">
      <formula>$B$32&lt;&gt;""</formula>
    </cfRule>
  </conditionalFormatting>
  <conditionalFormatting sqref="B33:H33">
    <cfRule type="expression" dxfId="9" priority="26">
      <formula>$B$33&lt;&gt;""</formula>
    </cfRule>
  </conditionalFormatting>
  <conditionalFormatting sqref="B34:H34">
    <cfRule type="expression" dxfId="8" priority="27">
      <formula>$B$34&lt;&gt;""</formula>
    </cfRule>
  </conditionalFormatting>
  <conditionalFormatting sqref="B35:H35">
    <cfRule type="expression" dxfId="7" priority="28">
      <formula>$B$35&lt;&gt;""</formula>
    </cfRule>
  </conditionalFormatting>
  <conditionalFormatting sqref="B36:H36">
    <cfRule type="expression" dxfId="6" priority="29">
      <formula>$B$36&lt;&gt;""</formula>
    </cfRule>
  </conditionalFormatting>
  <conditionalFormatting sqref="B37:H37">
    <cfRule type="expression" dxfId="5" priority="30">
      <formula>$B$37&lt;&gt;""</formula>
    </cfRule>
  </conditionalFormatting>
  <conditionalFormatting sqref="B38:H38">
    <cfRule type="expression" dxfId="4" priority="31">
      <formula>$B$38&lt;&gt;""</formula>
    </cfRule>
  </conditionalFormatting>
  <conditionalFormatting sqref="B39:H39">
    <cfRule type="expression" dxfId="3" priority="32">
      <formula>$B$39&lt;&gt;""</formula>
    </cfRule>
  </conditionalFormatting>
  <conditionalFormatting sqref="B40:H40">
    <cfRule type="expression" dxfId="2" priority="33">
      <formula>$B$40&lt;&gt;""</formula>
    </cfRule>
  </conditionalFormatting>
  <conditionalFormatting sqref="B41:H41">
    <cfRule type="expression" dxfId="1" priority="34">
      <formula>$B$41&lt;&gt;""</formula>
    </cfRule>
  </conditionalFormatting>
  <conditionalFormatting sqref="B42:H42">
    <cfRule type="expression" dxfId="0" priority="35">
      <formula>$B$42&lt;&gt;""</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Data_Source</vt:lpstr>
      <vt:lpstr>Bộ lọc theo Ngành</vt:lpstr>
      <vt:lpstr>Dashboard Tổng Quan</vt:lpstr>
      <vt:lpstr>Thống kê PLO</vt:lpstr>
      <vt:lpstr>Góp ý &amp; Kiến nghị</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Loi Cao</cp:lastModifiedBy>
  <dcterms:created xsi:type="dcterms:W3CDTF">2026-06-16T02:10:51Z</dcterms:created>
  <dcterms:modified xsi:type="dcterms:W3CDTF">2026-06-16T02:45:08Z</dcterms:modified>
</cp:coreProperties>
</file>