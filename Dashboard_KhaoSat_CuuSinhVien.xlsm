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cdloi\Desktop\khaosatCTDT\"/>
    </mc:Choice>
  </mc:AlternateContent>
  <xr:revisionPtr revIDLastSave="0" documentId="8_{596EF488-2BDE-4843-9696-2417E32C86D2}" xr6:coauthVersionLast="47" xr6:coauthVersionMax="47" xr10:uidLastSave="{00000000-0000-0000-0000-000000000000}"/>
  <bookViews>
    <workbookView xWindow="-110" yWindow="-110" windowWidth="25820" windowHeight="15500" xr2:uid="{00000000-000D-0000-FFFF-FFFF00000000}"/>
  </bookViews>
  <sheets>
    <sheet name="Data_Source" sheetId="1" r:id="rId1"/>
    <sheet name="Bộ lọc Cựu SV" sheetId="2" r:id="rId2"/>
    <sheet name="Dashboard Cựu SV" sheetId="3" r:id="rId3"/>
    <sheet name="Thống kê PLO" sheetId="4" r:id="rId4"/>
    <sheet name="Góp ý Cựu SV"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8" i="4" l="1"/>
  <c r="M18" i="4"/>
  <c r="L18" i="4"/>
  <c r="K18" i="4"/>
  <c r="J18" i="4"/>
  <c r="I18" i="4"/>
  <c r="H18" i="4"/>
  <c r="G18" i="4"/>
  <c r="F18" i="4"/>
  <c r="E18" i="4"/>
  <c r="D18" i="4"/>
  <c r="C18" i="4"/>
  <c r="N17" i="4"/>
  <c r="M17" i="4"/>
  <c r="L17" i="4"/>
  <c r="K17" i="4"/>
  <c r="J17" i="4"/>
  <c r="I17" i="4"/>
  <c r="H17" i="4"/>
  <c r="G17" i="4"/>
  <c r="F17" i="4"/>
  <c r="E17" i="4"/>
  <c r="D17" i="4"/>
  <c r="C17" i="4"/>
  <c r="N16" i="4"/>
  <c r="M16" i="4"/>
  <c r="L16" i="4"/>
  <c r="K16" i="4"/>
  <c r="J16" i="4"/>
  <c r="I16" i="4"/>
  <c r="H16" i="4"/>
  <c r="G16" i="4"/>
  <c r="F16" i="4"/>
  <c r="E16" i="4"/>
  <c r="D16" i="4"/>
  <c r="C16" i="4"/>
  <c r="N15" i="4"/>
  <c r="M15" i="4"/>
  <c r="L15" i="4"/>
  <c r="K15" i="4"/>
  <c r="J15" i="4"/>
  <c r="I15" i="4"/>
  <c r="H15" i="4"/>
  <c r="G15" i="4"/>
  <c r="F15" i="4"/>
  <c r="E15" i="4"/>
  <c r="D15" i="4"/>
  <c r="C15" i="4"/>
  <c r="N14" i="4"/>
  <c r="M14" i="4"/>
  <c r="L14" i="4"/>
  <c r="K14" i="4"/>
  <c r="J14" i="4"/>
  <c r="I14" i="4"/>
  <c r="H14" i="4"/>
  <c r="G14" i="4"/>
  <c r="F14" i="4"/>
  <c r="E14" i="4"/>
  <c r="D14" i="4"/>
  <c r="C14" i="4"/>
  <c r="N13" i="4"/>
  <c r="M13" i="4"/>
  <c r="L13" i="4"/>
  <c r="K13" i="4"/>
  <c r="J13" i="4"/>
  <c r="I13" i="4"/>
  <c r="H13" i="4"/>
  <c r="G13" i="4"/>
  <c r="F13" i="4"/>
  <c r="E13" i="4"/>
  <c r="D13" i="4"/>
  <c r="C13" i="4"/>
  <c r="N12" i="4"/>
  <c r="M12" i="4"/>
  <c r="L12" i="4"/>
  <c r="K12" i="4"/>
  <c r="J12" i="4"/>
  <c r="I12" i="4"/>
  <c r="H12" i="4"/>
  <c r="G12" i="4"/>
  <c r="F12" i="4"/>
  <c r="E12" i="4"/>
  <c r="D12" i="4"/>
  <c r="C12" i="4"/>
  <c r="N11" i="4"/>
  <c r="M11" i="4"/>
  <c r="L11" i="4"/>
  <c r="K11" i="4"/>
  <c r="J11" i="4"/>
  <c r="I11" i="4"/>
  <c r="H11" i="4"/>
  <c r="G11" i="4"/>
  <c r="F11" i="4"/>
  <c r="E11" i="4"/>
  <c r="D11" i="4"/>
  <c r="C11" i="4"/>
  <c r="N10" i="4"/>
  <c r="M10" i="4"/>
  <c r="L10" i="4"/>
  <c r="K10" i="4"/>
  <c r="J10" i="4"/>
  <c r="I10" i="4"/>
  <c r="H10" i="4"/>
  <c r="G10" i="4"/>
  <c r="F10" i="4"/>
  <c r="E10" i="4"/>
  <c r="D10" i="4"/>
  <c r="C10" i="4"/>
  <c r="N9" i="4"/>
  <c r="M9" i="4"/>
  <c r="L9" i="4"/>
  <c r="K9" i="4"/>
  <c r="J9" i="4"/>
  <c r="I9" i="4"/>
  <c r="H9" i="4"/>
  <c r="G9" i="4"/>
  <c r="F9" i="4"/>
  <c r="E9" i="4"/>
  <c r="D9" i="4"/>
  <c r="C9" i="4"/>
  <c r="N8" i="4"/>
  <c r="M8" i="4"/>
  <c r="L8" i="4"/>
  <c r="K8" i="4"/>
  <c r="J8" i="4"/>
  <c r="I8" i="4"/>
  <c r="H8" i="4"/>
  <c r="G8" i="4"/>
  <c r="F8" i="4"/>
  <c r="E8" i="4"/>
  <c r="D8" i="4"/>
  <c r="C8" i="4"/>
  <c r="N7" i="4"/>
  <c r="M7" i="4"/>
  <c r="L7" i="4"/>
  <c r="K7" i="4"/>
  <c r="J7" i="4"/>
  <c r="I7" i="4"/>
  <c r="H7" i="4"/>
  <c r="G7" i="4"/>
  <c r="F7" i="4"/>
  <c r="E7" i="4"/>
  <c r="D7" i="4"/>
  <c r="C7" i="4"/>
  <c r="C27" i="3"/>
  <c r="D27" i="3" s="1"/>
  <c r="C26" i="3"/>
  <c r="D25" i="3"/>
  <c r="C25" i="3"/>
  <c r="C24" i="3"/>
  <c r="C23" i="3"/>
  <c r="D23" i="3" s="1"/>
  <c r="C22" i="3"/>
  <c r="H16" i="3"/>
  <c r="G16" i="3"/>
  <c r="C16" i="3"/>
  <c r="G15" i="3"/>
  <c r="H15" i="3" s="1"/>
  <c r="C15" i="3"/>
  <c r="H14" i="3"/>
  <c r="G14" i="3"/>
  <c r="C14" i="3"/>
  <c r="G13" i="3"/>
  <c r="H13" i="3" s="1"/>
  <c r="C13" i="3"/>
  <c r="D13" i="3" s="1"/>
  <c r="H12" i="3"/>
  <c r="G12" i="3"/>
  <c r="C12" i="3"/>
  <c r="D12" i="3" s="1"/>
  <c r="I5" i="3"/>
  <c r="G5" i="3"/>
  <c r="E5" i="3"/>
  <c r="D16" i="3" s="1"/>
  <c r="C5" i="3"/>
  <c r="D24" i="3" s="1"/>
  <c r="G24" i="2"/>
  <c r="F24" i="2"/>
  <c r="C24" i="2"/>
  <c r="G23" i="2"/>
  <c r="F23" i="2"/>
  <c r="C23" i="2"/>
  <c r="G22" i="2"/>
  <c r="F22" i="2"/>
  <c r="C22" i="2"/>
  <c r="G21" i="2"/>
  <c r="F21" i="2"/>
  <c r="C21" i="2"/>
  <c r="G20" i="2"/>
  <c r="F20" i="2"/>
  <c r="C20" i="2"/>
  <c r="G19" i="2"/>
  <c r="F19" i="2"/>
  <c r="G18" i="2"/>
  <c r="F18" i="2"/>
  <c r="G17" i="2"/>
  <c r="F17" i="2"/>
  <c r="C17" i="2"/>
  <c r="G16" i="2"/>
  <c r="F16" i="2"/>
  <c r="C16" i="2"/>
  <c r="G15" i="2"/>
  <c r="F15" i="2"/>
  <c r="C15" i="2"/>
  <c r="G14" i="2"/>
  <c r="F14" i="2"/>
  <c r="C14" i="2"/>
  <c r="G13" i="2"/>
  <c r="F13" i="2"/>
  <c r="C13" i="2"/>
  <c r="D7" i="2"/>
  <c r="B7" i="2"/>
  <c r="A63" i="1"/>
  <c r="A62" i="1"/>
  <c r="A60" i="1"/>
  <c r="A59" i="1"/>
  <c r="A58" i="1"/>
  <c r="A57" i="1"/>
  <c r="A56" i="1"/>
  <c r="A55" i="1"/>
  <c r="A54" i="1"/>
  <c r="A53" i="1"/>
  <c r="A52" i="1"/>
  <c r="A51" i="1"/>
  <c r="A50" i="1"/>
  <c r="A49" i="1"/>
  <c r="A48" i="1"/>
  <c r="A47" i="1"/>
  <c r="A45" i="1"/>
  <c r="A44" i="1"/>
  <c r="A43" i="1"/>
  <c r="A42" i="1"/>
  <c r="A41" i="1"/>
  <c r="A40" i="1"/>
  <c r="A39" i="1"/>
  <c r="A38" i="1"/>
  <c r="A37" i="1"/>
  <c r="A36" i="1"/>
  <c r="A33" i="1"/>
  <c r="A31" i="1"/>
  <c r="A30" i="1"/>
  <c r="A28" i="1"/>
  <c r="A27" i="1"/>
  <c r="A26" i="1"/>
  <c r="A25" i="1"/>
  <c r="A24" i="1"/>
  <c r="A23" i="1"/>
  <c r="A21" i="1"/>
  <c r="A20" i="1"/>
  <c r="A19" i="1"/>
  <c r="A18" i="1"/>
  <c r="A17" i="1"/>
  <c r="A13" i="1"/>
  <c r="A5" i="1"/>
  <c r="A4" i="1"/>
  <c r="A3" i="1"/>
  <c r="A2" i="1"/>
  <c r="A6" i="1" l="1"/>
  <c r="B29" i="2"/>
  <c r="E31" i="2"/>
  <c r="H7" i="2"/>
  <c r="F7" i="2"/>
  <c r="B7" i="5"/>
  <c r="C30" i="2"/>
  <c r="D15" i="3"/>
  <c r="D22" i="3"/>
  <c r="D26" i="3"/>
  <c r="E30" i="2"/>
  <c r="C36" i="2"/>
  <c r="B6" i="5"/>
  <c r="D14" i="3"/>
  <c r="E36" i="2"/>
  <c r="D31" i="2" l="1"/>
  <c r="C31" i="2"/>
  <c r="B31" i="2"/>
  <c r="B33" i="2"/>
  <c r="B32" i="2"/>
  <c r="B30" i="2"/>
  <c r="D30" i="2"/>
  <c r="E6" i="5"/>
  <c r="D6" i="5"/>
  <c r="C6" i="5"/>
  <c r="A7" i="1"/>
  <c r="B35" i="2"/>
  <c r="E7" i="5"/>
  <c r="D7" i="5"/>
  <c r="C7" i="5"/>
  <c r="E37" i="2"/>
  <c r="D36" i="2" l="1"/>
  <c r="B39" i="2"/>
  <c r="B38" i="2"/>
  <c r="B36" i="2"/>
  <c r="D37" i="2"/>
  <c r="C37" i="2"/>
  <c r="B37" i="2"/>
  <c r="E43" i="2"/>
  <c r="A8" i="1"/>
  <c r="A10" i="1" s="1"/>
  <c r="E54" i="2"/>
  <c r="B9" i="5"/>
  <c r="C42" i="2"/>
  <c r="E42" i="2"/>
  <c r="E55" i="2"/>
  <c r="E48" i="2"/>
  <c r="B8" i="5"/>
  <c r="B41" i="2"/>
  <c r="A9" i="1"/>
  <c r="B59" i="2" l="1"/>
  <c r="A11" i="1"/>
  <c r="C60" i="2"/>
  <c r="E66" i="2"/>
  <c r="E61" i="2"/>
  <c r="B44" i="2"/>
  <c r="B42" i="2"/>
  <c r="D43" i="2"/>
  <c r="C43" i="2"/>
  <c r="D42" i="2"/>
  <c r="B45" i="2"/>
  <c r="B43" i="2"/>
  <c r="E8" i="5"/>
  <c r="D8" i="5"/>
  <c r="C8" i="5"/>
  <c r="E9" i="5"/>
  <c r="D9" i="5"/>
  <c r="C9" i="5"/>
  <c r="E60" i="2"/>
  <c r="A12" i="1"/>
  <c r="E72" i="2" s="1"/>
  <c r="C48" i="2"/>
  <c r="B10" i="5"/>
  <c r="E67" i="2"/>
  <c r="C66" i="2"/>
  <c r="E49" i="2"/>
  <c r="B65" i="2"/>
  <c r="B53" i="2"/>
  <c r="C54" i="2"/>
  <c r="B12" i="5"/>
  <c r="B11" i="5"/>
  <c r="B47" i="2"/>
  <c r="D61" i="2" l="1"/>
  <c r="C61" i="2"/>
  <c r="B61" i="2"/>
  <c r="D60" i="2"/>
  <c r="B63" i="2"/>
  <c r="B60" i="2"/>
  <c r="B62" i="2"/>
  <c r="E12" i="5"/>
  <c r="D12" i="5"/>
  <c r="C12" i="5"/>
  <c r="A15" i="1"/>
  <c r="B13" i="5"/>
  <c r="A14" i="1"/>
  <c r="E11" i="5"/>
  <c r="D11" i="5"/>
  <c r="C11" i="5"/>
  <c r="D54" i="2"/>
  <c r="B57" i="2"/>
  <c r="B56" i="2"/>
  <c r="B54" i="2"/>
  <c r="C55" i="2"/>
  <c r="B55" i="2"/>
  <c r="D55" i="2"/>
  <c r="C49" i="2"/>
  <c r="B49" i="2"/>
  <c r="D48" i="2"/>
  <c r="B50" i="2"/>
  <c r="B48" i="2"/>
  <c r="B51" i="2"/>
  <c r="D49" i="2"/>
  <c r="B67" i="2"/>
  <c r="D66" i="2"/>
  <c r="B69" i="2"/>
  <c r="D67" i="2"/>
  <c r="B68" i="2"/>
  <c r="C67" i="2"/>
  <c r="B66" i="2"/>
  <c r="E73" i="2"/>
  <c r="C72" i="2"/>
  <c r="B71" i="2"/>
  <c r="E10" i="5"/>
  <c r="D10" i="5"/>
  <c r="C10" i="5"/>
  <c r="E85" i="2"/>
  <c r="E13" i="5" l="1"/>
  <c r="D13" i="5"/>
  <c r="C13" i="5"/>
  <c r="E90" i="2"/>
  <c r="B77" i="2"/>
  <c r="B83" i="2"/>
  <c r="C90" i="2"/>
  <c r="C78" i="2"/>
  <c r="A16" i="1"/>
  <c r="B14" i="5"/>
  <c r="E78" i="2"/>
  <c r="B15" i="5"/>
  <c r="C84" i="2"/>
  <c r="E84" i="2"/>
  <c r="B75" i="2"/>
  <c r="B74" i="2"/>
  <c r="B72" i="2"/>
  <c r="D73" i="2"/>
  <c r="B73" i="2"/>
  <c r="C73" i="2"/>
  <c r="D72" i="2"/>
  <c r="E79" i="2"/>
  <c r="B89" i="2" l="1"/>
  <c r="A22" i="1"/>
  <c r="D79" i="2"/>
  <c r="C79" i="2"/>
  <c r="B79" i="2"/>
  <c r="B81" i="2"/>
  <c r="B80" i="2"/>
  <c r="B78" i="2"/>
  <c r="D78" i="2"/>
  <c r="D84" i="2"/>
  <c r="B87" i="2"/>
  <c r="B86" i="2"/>
  <c r="B84" i="2"/>
  <c r="D85" i="2"/>
  <c r="C85" i="2"/>
  <c r="B85" i="2"/>
  <c r="B17" i="5"/>
  <c r="E15" i="5"/>
  <c r="D15" i="5"/>
  <c r="C15" i="5"/>
  <c r="E14" i="5"/>
  <c r="D14" i="5"/>
  <c r="C14" i="5"/>
  <c r="A29" i="1" l="1"/>
  <c r="B95" i="2"/>
  <c r="E103" i="2"/>
  <c r="B101" i="2"/>
  <c r="E17" i="5"/>
  <c r="D17" i="5"/>
  <c r="C17" i="5"/>
  <c r="B92" i="2"/>
  <c r="B90" i="2"/>
  <c r="D91" i="2"/>
  <c r="C91" i="2"/>
  <c r="D90" i="2"/>
  <c r="B93" i="2"/>
  <c r="B91" i="2"/>
  <c r="C97" i="2" l="1"/>
  <c r="B97" i="2"/>
  <c r="D96" i="2"/>
  <c r="B98" i="2"/>
  <c r="B96" i="2"/>
  <c r="B99" i="2"/>
  <c r="D97" i="2"/>
  <c r="D102" i="2"/>
  <c r="B105" i="2"/>
  <c r="B104" i="2"/>
  <c r="B102" i="2"/>
  <c r="C103" i="2"/>
  <c r="B103" i="2"/>
  <c r="D103" i="2"/>
  <c r="A32" i="1"/>
  <c r="A34" i="1" s="1"/>
  <c r="A35" i="1" s="1"/>
  <c r="A46" i="1" s="1"/>
  <c r="A61" i="1" s="1"/>
  <c r="B221" i="2" s="1"/>
  <c r="D223" i="2" l="1"/>
  <c r="C223" i="2"/>
  <c r="B223" i="2"/>
  <c r="D222" i="2"/>
  <c r="B225" i="2"/>
  <c r="B224" i="2"/>
  <c r="B222" i="2"/>
  <c r="E156" i="2"/>
  <c r="E121" i="2"/>
  <c r="C234" i="2"/>
  <c r="C108" i="2"/>
  <c r="C186" i="2"/>
  <c r="E169" i="2"/>
  <c r="B16" i="5"/>
  <c r="C138" i="2"/>
  <c r="E97" i="2"/>
  <c r="B36" i="5"/>
  <c r="B149" i="2"/>
  <c r="E186" i="2"/>
  <c r="E174" i="2"/>
  <c r="B22" i="5"/>
  <c r="E187" i="2"/>
  <c r="E126" i="2"/>
  <c r="E205" i="2"/>
  <c r="B37" i="5"/>
  <c r="E91" i="2"/>
  <c r="B167" i="2"/>
  <c r="B26" i="5"/>
  <c r="E102" i="2"/>
  <c r="E210" i="2"/>
  <c r="E162" i="2"/>
  <c r="B137" i="2"/>
  <c r="C204" i="2"/>
  <c r="B24" i="5"/>
  <c r="C198" i="2"/>
  <c r="E228" i="2"/>
  <c r="E217" i="2"/>
  <c r="E127" i="2"/>
  <c r="E139" i="2"/>
  <c r="C144" i="2"/>
  <c r="B25" i="5"/>
  <c r="E234" i="2"/>
  <c r="E96" i="2"/>
  <c r="C150" i="2"/>
  <c r="E151" i="2"/>
  <c r="E115" i="2"/>
  <c r="B38" i="5"/>
  <c r="C114" i="2"/>
  <c r="E180" i="2"/>
  <c r="B191" i="2"/>
  <c r="C222" i="2"/>
  <c r="C228" i="2"/>
  <c r="E109" i="2"/>
  <c r="C162" i="2"/>
  <c r="E132" i="2"/>
  <c r="B29" i="5"/>
  <c r="E168" i="2"/>
  <c r="B27" i="5"/>
  <c r="B203" i="2"/>
  <c r="B28" i="5"/>
  <c r="C126" i="2"/>
  <c r="B39" i="5"/>
  <c r="B185" i="2"/>
  <c r="C216" i="2"/>
  <c r="E235" i="2"/>
  <c r="E145" i="2"/>
  <c r="B215" i="2"/>
  <c r="B40" i="5"/>
  <c r="E193" i="2"/>
  <c r="C156" i="2"/>
  <c r="B233" i="2"/>
  <c r="B18" i="5"/>
  <c r="E150" i="2"/>
  <c r="E157" i="2"/>
  <c r="C96" i="2"/>
  <c r="B143" i="2"/>
  <c r="B31" i="5"/>
  <c r="B107" i="2"/>
  <c r="B19" i="5"/>
  <c r="B35" i="5"/>
  <c r="E216" i="2"/>
  <c r="E175" i="2"/>
  <c r="E108" i="2"/>
  <c r="B30" i="5"/>
  <c r="C174" i="2"/>
  <c r="B179" i="2"/>
  <c r="E199" i="2"/>
  <c r="C180" i="2"/>
  <c r="B23" i="5"/>
  <c r="B119" i="2"/>
  <c r="C168" i="2"/>
  <c r="C120" i="2"/>
  <c r="B125" i="2"/>
  <c r="B161" i="2"/>
  <c r="C102" i="2"/>
  <c r="E211" i="2"/>
  <c r="E163" i="2"/>
  <c r="B20" i="5"/>
  <c r="B155" i="2"/>
  <c r="B227" i="2"/>
  <c r="E223" i="2"/>
  <c r="E222" i="2"/>
  <c r="B197" i="2"/>
  <c r="E138" i="2"/>
  <c r="C192" i="2"/>
  <c r="E120" i="2"/>
  <c r="E144" i="2"/>
  <c r="E192" i="2"/>
  <c r="E114" i="2"/>
  <c r="B33" i="5"/>
  <c r="B34" i="5"/>
  <c r="B32" i="5"/>
  <c r="E204" i="2"/>
  <c r="B209" i="2"/>
  <c r="E229" i="2"/>
  <c r="B21" i="5"/>
  <c r="B173" i="2"/>
  <c r="C210" i="2"/>
  <c r="C132" i="2"/>
  <c r="E181" i="2"/>
  <c r="B131" i="2"/>
  <c r="B113" i="2"/>
  <c r="E198" i="2"/>
  <c r="E133" i="2"/>
  <c r="E38" i="5" l="1"/>
  <c r="D38" i="5"/>
  <c r="C38" i="5"/>
  <c r="D228" i="2"/>
  <c r="B231" i="2"/>
  <c r="B230" i="2"/>
  <c r="B228" i="2"/>
  <c r="D229" i="2"/>
  <c r="C229" i="2"/>
  <c r="B229" i="2"/>
  <c r="E18" i="5"/>
  <c r="D18" i="5"/>
  <c r="C18" i="5"/>
  <c r="E29" i="5"/>
  <c r="D29" i="5"/>
  <c r="C29" i="5"/>
  <c r="B236" i="2"/>
  <c r="B234" i="2"/>
  <c r="D235" i="2"/>
  <c r="B235" i="2"/>
  <c r="C235" i="2"/>
  <c r="D234" i="2"/>
  <c r="B237" i="2"/>
  <c r="E33" i="5"/>
  <c r="D33" i="5"/>
  <c r="C33" i="5"/>
  <c r="D180" i="2"/>
  <c r="B183" i="2"/>
  <c r="B182" i="2"/>
  <c r="B180" i="2"/>
  <c r="D181" i="2"/>
  <c r="C181" i="2"/>
  <c r="B181" i="2"/>
  <c r="D109" i="2"/>
  <c r="C109" i="2"/>
  <c r="B109" i="2"/>
  <c r="D108" i="2"/>
  <c r="B111" i="2"/>
  <c r="B110" i="2"/>
  <c r="B108" i="2"/>
  <c r="E39" i="5"/>
  <c r="D39" i="5"/>
  <c r="C39" i="5"/>
  <c r="E16" i="5"/>
  <c r="D16" i="5"/>
  <c r="C16" i="5"/>
  <c r="E21" i="5"/>
  <c r="D21" i="5"/>
  <c r="C21" i="5"/>
  <c r="D157" i="2"/>
  <c r="C157" i="2"/>
  <c r="B157" i="2"/>
  <c r="D156" i="2"/>
  <c r="B159" i="2"/>
  <c r="B158" i="2"/>
  <c r="B156" i="2"/>
  <c r="E32" i="5"/>
  <c r="D32" i="5"/>
  <c r="C32" i="5"/>
  <c r="E35" i="5"/>
  <c r="D35" i="5"/>
  <c r="C35" i="5"/>
  <c r="B140" i="2"/>
  <c r="B138" i="2"/>
  <c r="D139" i="2"/>
  <c r="C139" i="2"/>
  <c r="D138" i="2"/>
  <c r="B139" i="2"/>
  <c r="B141" i="2"/>
  <c r="E34" i="5"/>
  <c r="D34" i="5"/>
  <c r="C34" i="5"/>
  <c r="D198" i="2"/>
  <c r="B201" i="2"/>
  <c r="B200" i="2"/>
  <c r="B198" i="2"/>
  <c r="D199" i="2"/>
  <c r="C199" i="2"/>
  <c r="B199" i="2"/>
  <c r="E19" i="5"/>
  <c r="D19" i="5"/>
  <c r="C19" i="5"/>
  <c r="B188" i="2"/>
  <c r="B186" i="2"/>
  <c r="D187" i="2"/>
  <c r="C187" i="2"/>
  <c r="B187" i="2"/>
  <c r="D186" i="2"/>
  <c r="B189" i="2"/>
  <c r="B163" i="2"/>
  <c r="D162" i="2"/>
  <c r="B165" i="2"/>
  <c r="B164" i="2"/>
  <c r="D163" i="2"/>
  <c r="C163" i="2"/>
  <c r="B162" i="2"/>
  <c r="D175" i="2"/>
  <c r="C175" i="2"/>
  <c r="B175" i="2"/>
  <c r="D174" i="2"/>
  <c r="B177" i="2"/>
  <c r="B176" i="2"/>
  <c r="B174" i="2"/>
  <c r="D127" i="2"/>
  <c r="C127" i="2"/>
  <c r="B127" i="2"/>
  <c r="B129" i="2"/>
  <c r="B128" i="2"/>
  <c r="B126" i="2"/>
  <c r="D126" i="2"/>
  <c r="E31" i="5"/>
  <c r="D31" i="5"/>
  <c r="C31" i="5"/>
  <c r="E22" i="5"/>
  <c r="D22" i="5"/>
  <c r="C22" i="5"/>
  <c r="E30" i="5"/>
  <c r="D30" i="5"/>
  <c r="C30" i="5"/>
  <c r="C145" i="2"/>
  <c r="B145" i="2"/>
  <c r="D144" i="2"/>
  <c r="B146" i="2"/>
  <c r="B144" i="2"/>
  <c r="D145" i="2"/>
  <c r="B147" i="2"/>
  <c r="E40" i="5"/>
  <c r="D40" i="5"/>
  <c r="C40" i="5"/>
  <c r="E28" i="5"/>
  <c r="D28" i="5"/>
  <c r="C28" i="5"/>
  <c r="E26" i="5"/>
  <c r="D26" i="5"/>
  <c r="C26" i="5"/>
  <c r="B219" i="2"/>
  <c r="B218" i="2"/>
  <c r="B216" i="2"/>
  <c r="D217" i="2"/>
  <c r="C217" i="2"/>
  <c r="B217" i="2"/>
  <c r="D216" i="2"/>
  <c r="D205" i="2"/>
  <c r="C205" i="2"/>
  <c r="B205" i="2"/>
  <c r="D204" i="2"/>
  <c r="B207" i="2"/>
  <c r="B204" i="2"/>
  <c r="B206" i="2"/>
  <c r="B171" i="2"/>
  <c r="B170" i="2"/>
  <c r="B168" i="2"/>
  <c r="D169" i="2"/>
  <c r="C169" i="2"/>
  <c r="B169" i="2"/>
  <c r="D168" i="2"/>
  <c r="B115" i="2"/>
  <c r="D114" i="2"/>
  <c r="B117" i="2"/>
  <c r="D115" i="2"/>
  <c r="B116" i="2"/>
  <c r="C115" i="2"/>
  <c r="B114" i="2"/>
  <c r="B211" i="2"/>
  <c r="D210" i="2"/>
  <c r="B213" i="2"/>
  <c r="B212" i="2"/>
  <c r="B210" i="2"/>
  <c r="D211" i="2"/>
  <c r="C211" i="2"/>
  <c r="E20" i="5"/>
  <c r="D20" i="5"/>
  <c r="C20" i="5"/>
  <c r="B123" i="2"/>
  <c r="B122" i="2"/>
  <c r="B120" i="2"/>
  <c r="D121" i="2"/>
  <c r="B121" i="2"/>
  <c r="C121" i="2"/>
  <c r="D120" i="2"/>
  <c r="E27" i="5"/>
  <c r="D27" i="5"/>
  <c r="C27" i="5"/>
  <c r="C193" i="2"/>
  <c r="B193" i="2"/>
  <c r="D192" i="2"/>
  <c r="B195" i="2"/>
  <c r="B194" i="2"/>
  <c r="B192" i="2"/>
  <c r="D193" i="2"/>
  <c r="E24" i="5"/>
  <c r="D24" i="5"/>
  <c r="C24" i="5"/>
  <c r="D150" i="2"/>
  <c r="B153" i="2"/>
  <c r="B152" i="2"/>
  <c r="B150" i="2"/>
  <c r="C151" i="2"/>
  <c r="B151" i="2"/>
  <c r="D151" i="2"/>
  <c r="D132" i="2"/>
  <c r="B135" i="2"/>
  <c r="B134" i="2"/>
  <c r="B132" i="2"/>
  <c r="D133" i="2"/>
  <c r="C133" i="2"/>
  <c r="B133" i="2"/>
  <c r="E23" i="5"/>
  <c r="D23" i="5"/>
  <c r="C23" i="5"/>
  <c r="E25" i="5"/>
  <c r="D25" i="5"/>
  <c r="C25" i="5"/>
  <c r="E37" i="5"/>
  <c r="D37" i="5"/>
  <c r="C37" i="5"/>
  <c r="E36" i="5"/>
  <c r="D36" i="5"/>
  <c r="C36" i="5"/>
</calcChain>
</file>

<file path=xl/sharedStrings.xml><?xml version="1.0" encoding="utf-8"?>
<sst xmlns="http://schemas.openxmlformats.org/spreadsheetml/2006/main" count="1440" uniqueCount="531">
  <si>
    <t>Helper_Match_Index</t>
  </si>
  <si>
    <t>Dấu thời gian</t>
  </si>
  <si>
    <t>Họ và tên</t>
  </si>
  <si>
    <t>Giới tính</t>
  </si>
  <si>
    <t>Ngành/ Chuyên ngành đào tạo</t>
  </si>
  <si>
    <t>Khóa đào tạo</t>
  </si>
  <si>
    <t>Địa chỉ liên hệ khi cần</t>
  </si>
  <si>
    <t>Số điện thoại</t>
  </si>
  <si>
    <t>Email</t>
  </si>
  <si>
    <t>Lĩnh vực công ty</t>
  </si>
  <si>
    <t>Tình hình việc làm</t>
  </si>
  <si>
    <t>Lý do chưa đi làm</t>
  </si>
  <si>
    <t>Bao lâu sau khi tốt nghiệp...</t>
  </si>
  <si>
    <t>Kênh thông tin tìm việc</t>
  </si>
  <si>
    <t>Loại hình tổ chức</t>
  </si>
  <si>
    <t>Vị trí công việc</t>
  </si>
  <si>
    <t>Mức thu nhập</t>
  </si>
  <si>
    <t>Công việc hiện tại là</t>
  </si>
  <si>
    <t>Lý do làm trái ngành</t>
  </si>
  <si>
    <t>Kiến thức giúp ích</t>
  </si>
  <si>
    <t>Kỹ năng giúp ích</t>
  </si>
  <si>
    <t>Hài lòng với CTĐT</t>
  </si>
  <si>
    <t>Hài lòng với PP giảng dạy</t>
  </si>
  <si>
    <t>Hài lòng với PP đánh giá</t>
  </si>
  <si>
    <t>PLO 1 Achievement</t>
  </si>
  <si>
    <t>PLO 2 Achievement</t>
  </si>
  <si>
    <t>PLO 3 Achievement</t>
  </si>
  <si>
    <t>PLO 4 Achievement</t>
  </si>
  <si>
    <t>PLO 5 Achievement</t>
  </si>
  <si>
    <t>PLO 6 Achievement</t>
  </si>
  <si>
    <t>PLO 7 Achievement</t>
  </si>
  <si>
    <t>PLO 8 Achievement</t>
  </si>
  <si>
    <t>PLO 9 Achievement</t>
  </si>
  <si>
    <t>PLO 10 Achievement</t>
  </si>
  <si>
    <t>PLO 11 Achievement</t>
  </si>
  <si>
    <t>PLO 12 Achievement</t>
  </si>
  <si>
    <t>PLO 1 Importance</t>
  </si>
  <si>
    <t>PLO 2 Importance</t>
  </si>
  <si>
    <t>PLO 3 Importance</t>
  </si>
  <si>
    <t>PLO 4 Importance</t>
  </si>
  <si>
    <t>PLO 5 Importance</t>
  </si>
  <si>
    <t>PLO 6 Importance</t>
  </si>
  <si>
    <t>PLO 7 Importance</t>
  </si>
  <si>
    <t>PLO 8 Importance</t>
  </si>
  <si>
    <t>PLO 9 Importance</t>
  </si>
  <si>
    <t>PLO 10 Importance</t>
  </si>
  <si>
    <t>PLO 11 Importance</t>
  </si>
  <si>
    <t>PLO 12 Importance</t>
  </si>
  <si>
    <t>Góp ý khác</t>
  </si>
  <si>
    <t>Học phần nên loại bỏ</t>
  </si>
  <si>
    <t>Học phần nên thêm</t>
  </si>
  <si>
    <t>Giáo trình, thiết bị</t>
  </si>
  <si>
    <t>Nguyễn Thanh Nghị</t>
  </si>
  <si>
    <t>Nam</t>
  </si>
  <si>
    <t>Cơ khí nông lâm</t>
  </si>
  <si>
    <t>1997 - 2002</t>
  </si>
  <si>
    <t>Khoa Cơ khí - Công nghệ, Trường ĐH Nông Lâm Tp.HCM</t>
  </si>
  <si>
    <t>0903851802</t>
  </si>
  <si>
    <t>ntnghi@hcmuaf.edu.vn</t>
  </si>
  <si>
    <t>Cơ khí nông nghiệp</t>
  </si>
  <si>
    <t>Đang có việc làm (vui lòng chuyển tới câu hỏi số 4)</t>
  </si>
  <si>
    <t>Dưới 6 tháng</t>
  </si>
  <si>
    <t>Qua bạn bè, người thân giới thiệu</t>
  </si>
  <si>
    <t>Trường học, viện nghiên cứu</t>
  </si>
  <si>
    <t>Giảng dạy, nghiên cứu</t>
  </si>
  <si>
    <t>Từ 15 - 30 triệu</t>
  </si>
  <si>
    <t>Đúng chuyên ngành đào tạo</t>
  </si>
  <si>
    <t>Rất có ích</t>
  </si>
  <si>
    <t>Rất hài lòng</t>
  </si>
  <si>
    <t>.....</t>
  </si>
  <si>
    <t>....</t>
  </si>
  <si>
    <t>c</t>
  </si>
  <si>
    <t>Đang học tiếp</t>
  </si>
  <si>
    <t>Tư vấn, quản lý dự án</t>
  </si>
  <si>
    <t>Từ 6 - 10 triệu</t>
  </si>
  <si>
    <t>Gần ngành rộng</t>
  </si>
  <si>
    <t>Mức lương hấp dẫn</t>
  </si>
  <si>
    <t>Có ích</t>
  </si>
  <si>
    <t>Ít có ích</t>
  </si>
  <si>
    <t>Hài lòng</t>
  </si>
  <si>
    <t>Nữ</t>
  </si>
  <si>
    <t>Công nghệ kỹ thuật cơ điện tử</t>
  </si>
  <si>
    <t>cơ điện tử</t>
  </si>
  <si>
    <t>Qua các kênh thông tin tuyển dụng/ngày hội tuyển dụng của Khoa/Trường</t>
  </si>
  <si>
    <t>Quản lý sản xuất/ sản phẩm</t>
  </si>
  <si>
    <t>Ít hài lòng</t>
  </si>
  <si>
    <t>LÊ QUANG NGỌC</t>
  </si>
  <si>
    <t>Kỹ thuật điều khiển và tự động hóa</t>
  </si>
  <si>
    <t>DH12TD</t>
  </si>
  <si>
    <t>CÔNG TY TNHH KỸ THUẬT HOÀNG TÂM</t>
  </si>
  <si>
    <t>Doanh nghiệp tư nhân, cổ phẩn, TNHH</t>
  </si>
  <si>
    <t>Kinh doanh, bán hàng kỹ thuật</t>
  </si>
  <si>
    <t>Đúng ngành rộng</t>
  </si>
  <si>
    <t>QUản lý dự án</t>
  </si>
  <si>
    <t>Phạm Thị Thúy Hằng</t>
  </si>
  <si>
    <t>2015-2019</t>
  </si>
  <si>
    <t>92 Hoàng Hoa Thám, Đông Hòa, Dĩ An</t>
  </si>
  <si>
    <t>0979803897</t>
  </si>
  <si>
    <t>Hanypham28@gmail.com</t>
  </si>
  <si>
    <t>Cơ khí phụ trợ</t>
  </si>
  <si>
    <t>Qua internet, báo đài,...</t>
  </si>
  <si>
    <t>Từ 10 - 15 triệu</t>
  </si>
  <si>
    <t>Làm tạm thời trong thời gian tìm được việc khác phù hợp hơn</t>
  </si>
  <si>
    <t>em không có đề xuất gì</t>
  </si>
  <si>
    <t>EM không có ý kiến</t>
  </si>
  <si>
    <t>em không có ý kiến</t>
  </si>
  <si>
    <t>em ko biết</t>
  </si>
  <si>
    <t>Hoàng Văn Viết</t>
  </si>
  <si>
    <t>K38, 2012 - 2016</t>
  </si>
  <si>
    <t>Xã Long Hải, TP. Hồ Chí Minh</t>
  </si>
  <si>
    <t>hoangvanviet2103@gmail.com</t>
  </si>
  <si>
    <t>các dự án dầu khí, các nhà máy nhiệt điện, các nhà máy năng lượng mặt trời</t>
  </si>
  <si>
    <t>Qua internet, báo đài,..., Qua bạn bè, người thân giới thiệu</t>
  </si>
  <si>
    <t>Trần Vũ Nam Kha</t>
  </si>
  <si>
    <t>khóa 12 ( 2012-2016)</t>
  </si>
  <si>
    <t>0398563983</t>
  </si>
  <si>
    <t>tranvunamkha@gmail.com</t>
  </si>
  <si>
    <t>Dược Phẩm</t>
  </si>
  <si>
    <t>Qua các kênh thông tin tuyển dụng/ngày hội tuyển dụng của Khoa/Trường, Qua bạn bè, người thân giới thiệu</t>
  </si>
  <si>
    <t>Trên 30 triệu</t>
  </si>
  <si>
    <t>Không có</t>
  </si>
  <si>
    <t>Nguyên lý máy và Chi tiết máy</t>
  </si>
  <si>
    <t>Nguyễn Minh Quang</t>
  </si>
  <si>
    <t>DH10TD</t>
  </si>
  <si>
    <t>Bình Dương</t>
  </si>
  <si>
    <t>0972853980</t>
  </si>
  <si>
    <t>nguyenquang0311@gmail.com</t>
  </si>
  <si>
    <t>Sản xuất thực phẩm</t>
  </si>
  <si>
    <t>Qua các trung tâm giới thiệu việc làm, Qua internet, báo đài,...</t>
  </si>
  <si>
    <t>Tổ chức/doanh nghiệp nước ngoài, liên doanh</t>
  </si>
  <si>
    <t>Kỹ sư lắp đặt, vận hành, bảo trì</t>
  </si>
  <si>
    <t>Môn nào cũng cần, cũng hay ho hết à Thầy</t>
  </si>
  <si>
    <t>Tăng thời gian thực hành cho các môn Cảm biến, tín hiệu số. (Đề nghị) thêm học phần (hoặc 1 chủ đề của học phần nào đó) về phân tích sự cố, hướng logic, hướng xử lý, cách xử lý... rất cần cho sau này các em làm Kỹ thuật nhà máy</t>
  </si>
  <si>
    <t>Dương Thanh Thảo</t>
  </si>
  <si>
    <t>K40 - DH14TD</t>
  </si>
  <si>
    <t>Chung Cư Thạnh Mỹ Lợi - Cát Lái - TP HCM</t>
  </si>
  <si>
    <t>0368 7979 95</t>
  </si>
  <si>
    <t>ttduong.engineer@gmail.com</t>
  </si>
  <si>
    <t>Nhà Thông minh- Cổng tự động - Khóa Thông minh</t>
  </si>
  <si>
    <t>Không</t>
  </si>
  <si>
    <t>Cải cách chương trình đào tạo, đưa các ngành phù hợp với xu hướng hiện tại. ĐỊnh hướng nghề nghiệp cho sinh viên rõ ràng hơn, tổ chức liên tục các chương trình định hướng nghề nghiệp, đào tạo thêm về tư duy nghề nghiệp, các kỹ năng mềm, kỹ năng phỏng vấn, viết CV..</t>
  </si>
  <si>
    <t>Không ý kiến</t>
  </si>
  <si>
    <t>Các kỹ năng mềm, kỹ năng lãnh đạo,..</t>
  </si>
  <si>
    <t>Các website học tập kỹ năng như: Coursera, Udemy, LinkedIn Learning, Skillshare (nước ngoài) và Edumall, Unica, Kyna (Việt Nam). Hoặc các website tổ chức trò chơi trắc nghiệm như Kahoot khá thú vị để sinh viên có thể ôn lại kiến thức..</t>
  </si>
  <si>
    <t>Huỳnh Hoàng Phú</t>
  </si>
  <si>
    <t>2013-2017</t>
  </si>
  <si>
    <t>Chung cư terra rosa, Xã Bình Hưng, TP. HCM</t>
  </si>
  <si>
    <t>0906858592</t>
  </si>
  <si>
    <t>hoangphunls95@gmail.com</t>
  </si>
  <si>
    <t>Lắp đặt thiết bị quan trắc</t>
  </si>
  <si>
    <t>Cần cải thiện khả năng giao tiếp, làm việc nhóm và thực hành</t>
  </si>
  <si>
    <t>Kỹ năng cơ bản về máy tính, truyền thông công nghiệp.</t>
  </si>
  <si>
    <t>Ngô Thế Chung</t>
  </si>
  <si>
    <t>0974236080</t>
  </si>
  <si>
    <t>thechungngo95@gmail.com</t>
  </si>
  <si>
    <t>Linh kiện thiết bị trợ thính</t>
  </si>
  <si>
    <t xml:space="preserve">Khảo sát, tham quan nhà máy </t>
  </si>
  <si>
    <t>Ứng dụng xử lí ảnh điều khiển cánh tay robot</t>
  </si>
  <si>
    <t>Nguyễn Phương Duy</t>
  </si>
  <si>
    <t>K46-DH20CD</t>
  </si>
  <si>
    <t>556 ấp Đông Mỹ, xã Mỹ hội, H.Cao Lanh, Đồng Tháp</t>
  </si>
  <si>
    <t>0326066097</t>
  </si>
  <si>
    <t>bluedy.2002@gmail.com</t>
  </si>
  <si>
    <t>In Ấn Mỹ Chương</t>
  </si>
  <si>
    <t>Thiết Kế In Ấn xuất file cho máy in, máy laser, CNC. Ngoài ra nếu khách cần còn thiết kế macro + giao diện phần mềm corel, mô phỏng 3D bảng hiệu, thiết kế in 3D...</t>
  </si>
  <si>
    <t>Dưới 6 triệu</t>
  </si>
  <si>
    <t>Hầu như em sẽ chọn các công việc có liên quan tới ngành và các công việc có khả năng phát triển về sau này để mở rộng mối quan hệ</t>
  </si>
  <si>
    <t>em nghĩ là chương trình không chỉ cần đào tạo mình làm đúng mà còn phải dạy cách để mình biết tư duy sữa lỗi khi các thiết bị gặp lỗi, em nghĩ đây cũng là 1 vấn đề khó bởi vì nó thuộc về kinh nghiệm và thời gian tiết học có hạn nhưng mà nếu được cái này thì tốt quá, nó sẽ làm giảm được thời gian và chi phí
Trong quá trình học ngành này em chưa được học khử nhiễu hầu như là khi dùng nút nhấn thì phải khử nhiễu bằng code trên vi điều khiển nhưng có những mạch không dùng vi điều khiển như là mạch bấm nút đếm lên, đếm xuống buộc phải khử nhiễu bằng phần cứng mà em làm theo trên mạng thì có vẫn không khử triệt để được.
Một cái nữa là khả năng tư duy giữa các phần mềm để có thể phối hợp sử dụng nếu có thể thì trường có thể dạy để tận dụng hết khả năng của phần mềm luôn có thể là thêm 1 môn nâng cao chẳng hạn giống như môn excel ở trung tâm tin học vậy á, chứ thực tế thì em thấy vẫn cần tự học thêm ở ngoài thì mới có thể thành thạo được</t>
  </si>
  <si>
    <t>Kỹ thuật hệ thống: em vẫn chưa tận dụng được môn này ở thực tế và cũng không có ấn tượng môn này</t>
  </si>
  <si>
    <t xml:space="preserve">Thiết kế mạch điện: Nội dụng môn này là sẽ dạy về cách thiết kế mạch để tối ưu và các tiêu chuẩn mạch điện hiện nay môn thứ 2 là Lập Trình Vi Điều Khiển Nâng Cao( tự chọn) môn này học về cách code và nạp nhiều loại chip khác nhau chip này là chip dạng nguyên bản chứ không phải module, môn thực tập gia công cắt gọt cnc nên thêm máy laser </t>
  </si>
  <si>
    <t>máy cnc laser: bao gồm loại diode, co2 và fiberr</t>
  </si>
  <si>
    <t>Phạm Nguyễn Anh Pha</t>
  </si>
  <si>
    <t>2019-2023</t>
  </si>
  <si>
    <t>0329725032</t>
  </si>
  <si>
    <t>anhphaafc@gmail.com</t>
  </si>
  <si>
    <t>Lốp xe sailun</t>
  </si>
  <si>
    <t>Có nhu cầu, đã đi xin việc nhưng chưa được</t>
  </si>
  <si>
    <t>Qua các kênh thông tin tuyển dụng/ngày hội tuyển dụng của Khoa/Trường, Qua internet, báo đài,..., Qua bạn bè, người thân giới thiệu</t>
  </si>
  <si>
    <t>Cơ quan/doanh nghiệp nhà nước</t>
  </si>
  <si>
    <t>Tôi thích công việc này</t>
  </si>
  <si>
    <t>Hoàng Phi Hùng</t>
  </si>
  <si>
    <t>Tân Hưng. Hớn Quản. Đồng Nai</t>
  </si>
  <si>
    <t>0387782823</t>
  </si>
  <si>
    <t>Phihung.07.007@gmail.com</t>
  </si>
  <si>
    <t>Công ty TNHH Sailun Việt Nam</t>
  </si>
  <si>
    <t>Hoàn toàn trái ngành</t>
  </si>
  <si>
    <t>Không tìm được công việc đúng chuyên môn</t>
  </si>
  <si>
    <t>Nguyễn Tự Hiếu</t>
  </si>
  <si>
    <t>K39</t>
  </si>
  <si>
    <t>KDC Lavender ,Khu Phố Thạnh Phú, Phường Tân Triều, Tỉnh Đồng Nai</t>
  </si>
  <si>
    <t>0979873414</t>
  </si>
  <si>
    <t>tuhieucamlam@gmail.com</t>
  </si>
  <si>
    <t>Sản Xuất Giày Nike</t>
  </si>
  <si>
    <t>Kỹ sư thiết kế. phát triển</t>
  </si>
  <si>
    <t>Giám sát điều khiển qua máy tính</t>
  </si>
  <si>
    <t>Youtube</t>
  </si>
  <si>
    <t>Lê Văn Dưỡng</t>
  </si>
  <si>
    <t>2021-2025</t>
  </si>
  <si>
    <t>0379120633</t>
  </si>
  <si>
    <t>levanduong260603@gmail.com</t>
  </si>
  <si>
    <t>Chế tạo máy và gia công cơ khí</t>
  </si>
  <si>
    <t>Khí cụ điện</t>
  </si>
  <si>
    <t>Nguyễn Đăng Hoài Nam</t>
  </si>
  <si>
    <t>Công nghệ kỹ thuật năng lượng tái tạo</t>
  </si>
  <si>
    <t>2021 - 2025</t>
  </si>
  <si>
    <t>Khu phố 1, Phường Đô Vinh, Khánh Hòa</t>
  </si>
  <si>
    <t>0865565614</t>
  </si>
  <si>
    <t>nguyendanghoainam10k3@gmail.com</t>
  </si>
  <si>
    <t>Công ty Cổ phần Tư vấn Xây dựng Điện 2</t>
  </si>
  <si>
    <t>Nguyễn Châu Thanh</t>
  </si>
  <si>
    <t>Lạc Nghiệp 2 , Cà Ná , Khánh Hoà</t>
  </si>
  <si>
    <t>0933984157</t>
  </si>
  <si>
    <t>Nguyenchauthanh0303@icloud.com</t>
  </si>
  <si>
    <t>Đang tiếp tục học thêm lên thạc sĩ</t>
  </si>
  <si>
    <t>Chưa có việc làm</t>
  </si>
  <si>
    <t>.</t>
  </si>
  <si>
    <t>Không rõ</t>
  </si>
  <si>
    <t>Thực hành về điện</t>
  </si>
  <si>
    <t>Tài liệu chuyên sâu về điện</t>
  </si>
  <si>
    <t>thôn Văn Lâm 3, Thuận Nam, Khánh Hoà</t>
  </si>
  <si>
    <t>0814449106</t>
  </si>
  <si>
    <t>datthanhoa27@gmail.com</t>
  </si>
  <si>
    <t>KTV Điện Gió/ Vivablast Việt Nam</t>
  </si>
  <si>
    <t>Cần đào tạo thêm các kiến thức về TBA, role, cách lỗi trên đường dây, nguyên lý thiết kế TBA, thiết kế điện mặt trời áp mái</t>
  </si>
  <si>
    <t>Phạm Tiên Quang</t>
  </si>
  <si>
    <t>0347177648</t>
  </si>
  <si>
    <t>21152073@st.hcmuaf.edu.vn</t>
  </si>
  <si>
    <t>Điện mặt trời</t>
  </si>
  <si>
    <t>Sau một khoảng thời gian học tập ở trường thì em nhận thấy những môn về thiết kế hệ thống điện (ví dụ như AutoCAD,...) rất quan trọng đối với sinh viên ngành CNKT Năng lượng tái tạo.Những môn đó nên đưa vào những môn học bắt buộc của ngành. Ngoài ra thì theo em nên thêm một môn về thiết bị đo chuyên dụng của ngành để sau này các bạn sinh viên ra ngoài khỏi bỡ ngỡ và mất thời than để làm quen với nó.
Em xin nhân thành cảm ơn.</t>
  </si>
  <si>
    <t>Ngôn ngữ lập trình kỹ thuật</t>
  </si>
  <si>
    <t>Môn học về thiết bị đo và thêm môn học về phần mềm Sketchup</t>
  </si>
  <si>
    <t>Các thiết bị mới của ngành</t>
  </si>
  <si>
    <t>Lê Kim Bảo</t>
  </si>
  <si>
    <t>K44</t>
  </si>
  <si>
    <t>89/28 Tân Lập, Đông Hoà,Dĩ An, Hồ Chí Minh</t>
  </si>
  <si>
    <t>0348440796</t>
  </si>
  <si>
    <t>kimbaopc1@gmail.com</t>
  </si>
  <si>
    <t>Thi công lắp đặt điện,đấu nối tủ điện, lập trình PLC,HMI,Scada</t>
  </si>
  <si>
    <t>Từ Trường Vũ</t>
  </si>
  <si>
    <t>Công nghệ kỹ thuật nhiệt</t>
  </si>
  <si>
    <t>K45</t>
  </si>
  <si>
    <t>Xã Đăk Nhau Tỉnh Đồng Nai</t>
  </si>
  <si>
    <t>0326182313</t>
  </si>
  <si>
    <t>tutruongvu01@gmail.com</t>
  </si>
  <si>
    <t>Hệ thống PCCC</t>
  </si>
  <si>
    <t>Hoàn toàn không có ích</t>
  </si>
  <si>
    <t>Toán giải tích</t>
  </si>
  <si>
    <t>Heatload, VRV Xpess, Duct Checker</t>
  </si>
  <si>
    <t>Phạm Công Hoàng</t>
  </si>
  <si>
    <t>Tự do</t>
  </si>
  <si>
    <t>Cá nhân</t>
  </si>
  <si>
    <t>Kinh doanh</t>
  </si>
  <si>
    <t>Chưa tốt nghiệp</t>
  </si>
  <si>
    <t>Không hài lòng</t>
  </si>
  <si>
    <t>Vật lý 2</t>
  </si>
  <si>
    <t>Auto cad phải bắt buộc</t>
  </si>
  <si>
    <t>Phạm Duy Hạnh</t>
  </si>
  <si>
    <t>0703994158</t>
  </si>
  <si>
    <t>Phamduyhanh2@gmail.com</t>
  </si>
  <si>
    <t>Xây dựng và ME</t>
  </si>
  <si>
    <t>Chương trình kết nối doanh nghiệp của Trường</t>
  </si>
  <si>
    <t>Nguyễn Trung Hậu</t>
  </si>
  <si>
    <t>0373538891</t>
  </si>
  <si>
    <t>08.nguyentrunghau.98@gmail.com</t>
  </si>
  <si>
    <t>Công ty TNHH Cơ Điện Minh Y</t>
  </si>
  <si>
    <t>Các môn chuyên ngành em xin có đề xuất: Tạo cơ hội tiếp xúc với thực tế của chuyên ngành làm việc nhiều hơn và mong các Thầy/Cô giảng dạy rõ ràng hơn giữ lý thuyết áp dụng vào thực tế làm việc sau này</t>
  </si>
  <si>
    <t xml:space="preserve">Thái Đức Sơn </t>
  </si>
  <si>
    <t>Khóa 19</t>
  </si>
  <si>
    <t>0379764076</t>
  </si>
  <si>
    <t>19137057@st.hcmuaf.edu.vn</t>
  </si>
  <si>
    <t>TDH Đồng Nai</t>
  </si>
  <si>
    <t>Từ 6 tháng - 1 năm</t>
  </si>
  <si>
    <t>Trần Nhật Hùng</t>
  </si>
  <si>
    <t>Linh xuân Thủ đức</t>
  </si>
  <si>
    <t>0373225654</t>
  </si>
  <si>
    <t>21137080@st.hcmuaf.edu.vn</t>
  </si>
  <si>
    <t>Vận hạnh lò hơi tại công ty TNHH TMSX lò hơi tầng sôi 3E</t>
  </si>
  <si>
    <t>thông qua khoá luận tốt nghiệp mà tôi làm, được công ty mà tôi làm trong khoá luận nhận vào làm việc sau khi bảo vệ xong KLTN</t>
  </si>
  <si>
    <t>không có</t>
  </si>
  <si>
    <t>tôi thấy chương trình học là phù hợp</t>
  </si>
  <si>
    <t xml:space="preserve">thêm nhiều phần thực hành đi kèm với các học phần để sinh viên va chạm nhiều hơn vào thực tế </t>
  </si>
  <si>
    <t>thư viện nên nâng cấp vào phần wed online để sinh viên có thể lên trên wed thư viện tham khảo tìm kiếm sách mà ko cần đến trực tiếp thư viện</t>
  </si>
  <si>
    <t>So Tấn Luy</t>
  </si>
  <si>
    <t>Ninh Phước, Ninh Thạnh Tp Tây Ninh</t>
  </si>
  <si>
    <t>086965852</t>
  </si>
  <si>
    <t>sotanluy97@gmail.com</t>
  </si>
  <si>
    <t>Giải pháp và tự động hóa</t>
  </si>
  <si>
    <t xml:space="preserve">Tạo điều kiện cho sinh viên làm quen với các ứng dụng tự động hóa trong Công nghiệp như thế kế mạch điều khiển, lập trình PLC và Robot . xây dựng tư duy hệ thống và quy trình </t>
  </si>
  <si>
    <t>Tăng thời gian thực tập và làm nhiều bài tập</t>
  </si>
  <si>
    <t xml:space="preserve">Làm nhiều bài tập khó </t>
  </si>
  <si>
    <t>Huỳnh Nhựt Hồ</t>
  </si>
  <si>
    <t>2017-2021</t>
  </si>
  <si>
    <t>0368569836</t>
  </si>
  <si>
    <t>hohuynh1999fc@gmail.com</t>
  </si>
  <si>
    <t>Công Ty THHH TƯ VẤN ĐẦU TƯ VÀ XÂY DỰNG QUỐC TẾ (ICIC)</t>
  </si>
  <si>
    <t>Hồ Đắc Lợi</t>
  </si>
  <si>
    <t>K30</t>
  </si>
  <si>
    <t>Trường Cao Đẳng Cơ Điện - Xây Dựng và Nông Lâm Trung bộ</t>
  </si>
  <si>
    <t>0375116783</t>
  </si>
  <si>
    <t>hodacloicnnl@gmail.com</t>
  </si>
  <si>
    <t>Giáo dục</t>
  </si>
  <si>
    <t>Sau 2 năm</t>
  </si>
  <si>
    <t>Giảm môn cơ sở</t>
  </si>
  <si>
    <t>Chuyên môn</t>
  </si>
  <si>
    <t>Ứng dụng IOT</t>
  </si>
  <si>
    <t>NGUYỄN THỊ KIỀU TRINH</t>
  </si>
  <si>
    <t>minilitrinh@gmail.com</t>
  </si>
  <si>
    <t>0329041084</t>
  </si>
  <si>
    <t>Cáp điện</t>
  </si>
  <si>
    <t>Giáo trình kỹ năng giao tiếp - xử lý tình huống thực tế</t>
  </si>
  <si>
    <t>Hoàng Lương Long</t>
  </si>
  <si>
    <t>Hoanglong29102003@gmail.com</t>
  </si>
  <si>
    <t>0888782910</t>
  </si>
  <si>
    <t>Vận hành trạm điện mặt trời</t>
  </si>
  <si>
    <t>Nguyễn Thị Mỹ Linh</t>
  </si>
  <si>
    <t>197 ấp 1 Lê Văn Lương Phước Kiển Nhà Bè TP.HCM</t>
  </si>
  <si>
    <t>0986583076</t>
  </si>
  <si>
    <t>mylinh5153@gmail.com</t>
  </si>
  <si>
    <t xml:space="preserve">Dịch vụ </t>
  </si>
  <si>
    <t>Chăm sóc khách hành</t>
  </si>
  <si>
    <t>Phan Thị Mạnh Thắng</t>
  </si>
  <si>
    <t xml:space="preserve">73b, đường 18, Linh Xuân, Thủ Đức </t>
  </si>
  <si>
    <t>0328138767</t>
  </si>
  <si>
    <t>thangphan97bt0509@gmail.com</t>
  </si>
  <si>
    <t xml:space="preserve">Board mạch điện tử </t>
  </si>
  <si>
    <t>Trương Quốc An</t>
  </si>
  <si>
    <t>DH17NL</t>
  </si>
  <si>
    <t>0343602955</t>
  </si>
  <si>
    <t>truongquocan955@gmail.com</t>
  </si>
  <si>
    <t>Thi công ME dự án, và đang làm việc tại công ty CÔNG TY CỔ PHẦN TẬP ĐOÀN ĐẦU TƯ - THƯƠNG MẠI VÀ XÂY DỰNG VÂN KHÁNH</t>
  </si>
  <si>
    <t>Nguyễn Thái Hoàng</t>
  </si>
  <si>
    <t>0906996473</t>
  </si>
  <si>
    <t>21153133@st.hcmuaf.edu.vn</t>
  </si>
  <si>
    <t>kỹ thuật điện</t>
  </si>
  <si>
    <t>Trần Ngọc Hưng</t>
  </si>
  <si>
    <t>DH18CD</t>
  </si>
  <si>
    <t>458/10 Huỳnh Tấn Phát, Tân Thuận , Q7, TP. HCM</t>
  </si>
  <si>
    <t>0352952326</t>
  </si>
  <si>
    <t>18153027@st.hcmuaf.edu.vn</t>
  </si>
  <si>
    <t>Mitek Việt Nam</t>
  </si>
  <si>
    <t xml:space="preserve">Lập trình các phần mềm đời mới </t>
  </si>
  <si>
    <t xml:space="preserve">PLC </t>
  </si>
  <si>
    <t>Nguyễn Văn Phương</t>
  </si>
  <si>
    <t>69/9A, hẻm 69, đường 120, P.Tăng Nhơn Phú, TP.Hồ Chí Minh</t>
  </si>
  <si>
    <t>0869600481</t>
  </si>
  <si>
    <t>nguyenvanphuong2822003@gmail.com</t>
  </si>
  <si>
    <t>Cơ khí</t>
  </si>
  <si>
    <t>Qua các trung tâm giới thiệu việc làm, Qua bạn bè, người thân giới thiệu</t>
  </si>
  <si>
    <t>Phạm Đình Khởi</t>
  </si>
  <si>
    <t>0348260699</t>
  </si>
  <si>
    <t>phamkhoii1304@gmail.com</t>
  </si>
  <si>
    <t>Xây dựng cơ điện/Công ty cổ phần tập đoàn TDI group</t>
  </si>
  <si>
    <t>Ngọc Trinh</t>
  </si>
  <si>
    <t>Công ty TNHH Scansia Pacific</t>
  </si>
  <si>
    <t>Nguyễn Chí Hiếu</t>
  </si>
  <si>
    <t>nguyenchihieu0022@gmail.com</t>
  </si>
  <si>
    <t>intel</t>
  </si>
  <si>
    <t>Quản lý dự án</t>
  </si>
  <si>
    <t>Thực hành</t>
  </si>
  <si>
    <t>Nguyễn Khắc Minh Quân</t>
  </si>
  <si>
    <t>0327281572</t>
  </si>
  <si>
    <t>minhquan.ngk@gmail.com</t>
  </si>
  <si>
    <t>Nhà thầu thi công cơ điện/ REE M&amp;E JSC</t>
  </si>
  <si>
    <t>Kỹ sư bóc tách &amp; đặt hàng vật tư</t>
  </si>
  <si>
    <t>Phạm Quốc Trung</t>
  </si>
  <si>
    <t>Bình Hòa 24, Thuận An Bình Dương</t>
  </si>
  <si>
    <t>0342970435</t>
  </si>
  <si>
    <t>2115320@st.hcmuaf.edu.vn</t>
  </si>
  <si>
    <t>Đang tìm việc</t>
  </si>
  <si>
    <t>Không có góp ý</t>
  </si>
  <si>
    <t>Nên thêm bổ sung các thiết bị trong phòng thực hành</t>
  </si>
  <si>
    <t>Trần Quốc Khánh</t>
  </si>
  <si>
    <t>Chế biến thức ăn chăn nuôi</t>
  </si>
  <si>
    <t>Trần Phát</t>
  </si>
  <si>
    <t>44/29/47 an phú đông 25, phường an phú đông, Q12</t>
  </si>
  <si>
    <t>0393739878</t>
  </si>
  <si>
    <t>phattran251.00@gmail.com</t>
  </si>
  <si>
    <t>công ty chế tạo máy</t>
  </si>
  <si>
    <t>Trương Thanh Quí</t>
  </si>
  <si>
    <t>64 đường 16, KP 39, Linh Xuân, TP. HCM</t>
  </si>
  <si>
    <t>0971416421</t>
  </si>
  <si>
    <t>truongthanhqui2017@gmail.com</t>
  </si>
  <si>
    <t>Công ty TNHH Máy Sấy Nông Lâm</t>
  </si>
  <si>
    <t>hiện đang có công việc ổn định</t>
  </si>
  <si>
    <t>Qua các kênh thông tin tuyển dụng/ngày hội tuyển dụng của Khoa/Trường, Qua các trung tâm giới thiệu việc làm, Qua internet, báo đài,..., Qua bạn bè, người thân giới thiệu</t>
  </si>
  <si>
    <t>Phần mềm ANSYS Fluent, Comsol,...</t>
  </si>
  <si>
    <t>DANH VÕ ANH KHOA</t>
  </si>
  <si>
    <t>Tổ 7 ấp 2 xã Bình Phú , Đồng Tháp</t>
  </si>
  <si>
    <t>0906241176</t>
  </si>
  <si>
    <t>anhkhoa.180403@gmail.com</t>
  </si>
  <si>
    <t>Đại Kinh Bắc</t>
  </si>
  <si>
    <t xml:space="preserve">Không có </t>
  </si>
  <si>
    <t>DƯƠNG QUỐC ANH</t>
  </si>
  <si>
    <t>K43</t>
  </si>
  <si>
    <t>CÔNG TY TNHH THƯƠNG MẠI KỸ THUẬT SAGOTEK</t>
  </si>
  <si>
    <t>Nguyễn Văn Tuấn Anh</t>
  </si>
  <si>
    <t>Công nghệ kỹ thuật ô tô</t>
  </si>
  <si>
    <t>2010-2014</t>
  </si>
  <si>
    <t>khoa cơ khí công nghệ đại học Nông Lâm TP.HCM</t>
  </si>
  <si>
    <t>0977734904</t>
  </si>
  <si>
    <t>tuananh92st@gmail.com</t>
  </si>
  <si>
    <t>giáo dục</t>
  </si>
  <si>
    <t>đã đi làm</t>
  </si>
  <si>
    <t>giảng viên</t>
  </si>
  <si>
    <t>năng lực số</t>
  </si>
  <si>
    <t>Trương Quang Vinh</t>
  </si>
  <si>
    <t>K23</t>
  </si>
  <si>
    <t>Xã Lộc Tấn, tỉnh Đồng Nai</t>
  </si>
  <si>
    <t>0982508110</t>
  </si>
  <si>
    <t>Truongquangvinh79@gmail.com</t>
  </si>
  <si>
    <t>Kế toán. Kinh doanh tài chính</t>
  </si>
  <si>
    <t>Kinh doanh tài chính</t>
  </si>
  <si>
    <t>1. Chương trình khởi nghiệp . chương trình quản lý tài chính cá nhân.</t>
  </si>
  <si>
    <t>LÊ HUỲNH HOÀNG VÂN</t>
  </si>
  <si>
    <t>KHÓA K43- 2017-2021</t>
  </si>
  <si>
    <t>58/5D đường số 9- Phường Linh Xuân- HCM</t>
  </si>
  <si>
    <t>0353447240</t>
  </si>
  <si>
    <t>van245299@gmail.com</t>
  </si>
  <si>
    <t>Thiết kế hvac phòng sạch/Công ty TNHH cơ điện lạnh Qúi Long</t>
  </si>
  <si>
    <t>Đạt Thành Hoà</t>
  </si>
  <si>
    <t>2021 2024</t>
  </si>
  <si>
    <t>Thôn Văn Lâm 3, xã Thuận Nam, Khánh Hoà</t>
  </si>
  <si>
    <t>thanhhoaskymtp@gmail.com</t>
  </si>
  <si>
    <t>công ty TNHH Vivablast Việt Nam</t>
  </si>
  <si>
    <t xml:space="preserve">thêm vào các phần thiết kế trạm biến áp, lập trình plc liên quan đến các role trạm, thiết kế điện mặt trời áp mái, chọn vật tư thi công </t>
  </si>
  <si>
    <t>Nguyễn Thị Xuân Hảo</t>
  </si>
  <si>
    <t>DH21</t>
  </si>
  <si>
    <t>Khánh Giang-Ninh Chữ- Khánh Hoà</t>
  </si>
  <si>
    <t>0914186478</t>
  </si>
  <si>
    <t>nguyenhao.23102003@gmail.com</t>
  </si>
  <si>
    <t>N</t>
  </si>
  <si>
    <t>Đã có việc</t>
  </si>
  <si>
    <t>Từ 1 năm - 2 năm</t>
  </si>
  <si>
    <t>Lê Ngọc Huy</t>
  </si>
  <si>
    <t>0908632900</t>
  </si>
  <si>
    <t>le_huy2102@yahoo..con</t>
  </si>
  <si>
    <t>Cty Nghiệp vụ an toàn</t>
  </si>
  <si>
    <t>Tham quan tham gia sản xuất thực tế. Nghiên cứu thực tế</t>
  </si>
  <si>
    <t>AI</t>
  </si>
  <si>
    <t>Lê Văn Thành</t>
  </si>
  <si>
    <t>thanhhuynhphuoc551@gmail.com</t>
  </si>
  <si>
    <t>0359503485</t>
  </si>
  <si>
    <t>Cty CP Thiên Ấn- Chi nhánh vận hành nhà máy điện (POM)</t>
  </si>
  <si>
    <t xml:space="preserve">Bùi Văn Minh </t>
  </si>
  <si>
    <t>minhbui.10903@gmail.com</t>
  </si>
  <si>
    <t>0854958509</t>
  </si>
  <si>
    <t xml:space="preserve">Công ty TNHH ManPower </t>
  </si>
  <si>
    <t xml:space="preserve">Gmail sinh viên </t>
  </si>
  <si>
    <t>Đi sâu hơn vào khí cụ điện, giảm điện lạnh (ko nhớ môn học tên là gì ạ)</t>
  </si>
  <si>
    <t xml:space="preserve">Điện lạnh </t>
  </si>
  <si>
    <t>Khí cụ điện 2</t>
  </si>
  <si>
    <t>Hoàng Trọng Hòa</t>
  </si>
  <si>
    <t>K46</t>
  </si>
  <si>
    <t>Quang học</t>
  </si>
  <si>
    <t>Môn về giao thức truyền thông (tuy có thể tự tìm hiểu, nhưng được giảng dạy bày bản có lẽ sẽ tốt hơn)</t>
  </si>
  <si>
    <t>Hoàng Văn Đạt</t>
  </si>
  <si>
    <t>K47</t>
  </si>
  <si>
    <t>Non-Destructive Testing</t>
  </si>
  <si>
    <t>Tin học đại cương</t>
  </si>
  <si>
    <t>HVGH</t>
  </si>
  <si>
    <t>Nguyễn Công Thiện</t>
  </si>
  <si>
    <t>10/8B Tân Lập 2, P. Tăng Nhơn Phú, TP.HCM</t>
  </si>
  <si>
    <t>0902660146</t>
  </si>
  <si>
    <t>nct310396@gmail.com</t>
  </si>
  <si>
    <t>Đầu tư Bất Động Sản</t>
  </si>
  <si>
    <t>Qua internet, báo đài,..., Group MEP trên Zalo</t>
  </si>
  <si>
    <t>Chuyên viên thanh quyết toán</t>
  </si>
  <si>
    <t>Lê Trọng Mỹ</t>
  </si>
  <si>
    <t>2008 - 2012</t>
  </si>
  <si>
    <t>132, Nguyễn Công Trứ, Buôn ma Thuột, Daklak</t>
  </si>
  <si>
    <t>0916888847</t>
  </si>
  <si>
    <t>letrongmy8590@gmail.com</t>
  </si>
  <si>
    <t>Toyota Daklak</t>
  </si>
  <si>
    <t xml:space="preserve">công nghệ ô tô thời đại mới cần đi kèm với phát triển thực tế xã hội như Xe điện, sữa chưa bảo trì xe điện, cung ứng các cở sở vật chất, quản lý vận hành các trạm, gala , xưởng kĩ thuật, đưa sớm các lựa chọn chuyên nghành và đào tạo sâu hơn cho mỗi nhánh lựa chọn của sinh viên để tạo ra các KTV có tay nghề , có kiến thức nền tốt khi vào doanh nghiệp học tập và đi làm. </t>
  </si>
  <si>
    <t>Nguyễn Anh Quân</t>
  </si>
  <si>
    <t>2008-2012</t>
  </si>
  <si>
    <t>Hồ Chí Minh</t>
  </si>
  <si>
    <t>0908920590</t>
  </si>
  <si>
    <t>nguyenanhquan20590@gmail.com</t>
  </si>
  <si>
    <t>Ô tô</t>
  </si>
  <si>
    <t>Đào tạo thêm các chương trinh liên quan đến công việc hỗ trợ chính cho công việc sau khi ra trường</t>
  </si>
  <si>
    <t>Kỹ năng sống- kỹ năng làm việc nhóm- kỹ nẵng xử lý tình huống- kỹ năng làm việc độc lập</t>
  </si>
  <si>
    <t>BỘ LỌC THỐNG KÊ CHI TIẾT THEO NGÀNH (CỰU SINH VIÊN ĐÁNH GIÁ)</t>
  </si>
  <si>
    <t>Chọn ngành học ở ô C5 bên dưới để xem toàn bộ thông tin khảo sát tương ứng của cựu sinh viên ngành đó.</t>
  </si>
  <si>
    <t>Chọn ngành học:</t>
  </si>
  <si>
    <t>TỔNG CỰU SV KHẢO SÁT</t>
  </si>
  <si>
    <t>ĐANG CÓ VIỆC LÀM</t>
  </si>
  <si>
    <t>TỶ LỆ CÓ VIỆC LÀM (%)</t>
  </si>
  <si>
    <t>ĐÚNG CHUYÊN NGÀNH (%)</t>
  </si>
  <si>
    <t>I. TÌNH HÌNH VIỆC LÀM &amp; THU NHẬP CỦA CỰU SINH VIÊN</t>
  </si>
  <si>
    <t>II. ĐÁNH GIÁ CHUẨN ĐẦU RA PLO (Thang điểm 1 - 5)</t>
  </si>
  <si>
    <t>Loại hình cơ quan</t>
  </si>
  <si>
    <t>Số lượng</t>
  </si>
  <si>
    <t>Chuẩn đầu ra (PLO)</t>
  </si>
  <si>
    <t>Đạt được (Trang bị)</t>
  </si>
  <si>
    <t>Cần thiết cho CV</t>
  </si>
  <si>
    <t>PLO 1</t>
  </si>
  <si>
    <t>PLO 2</t>
  </si>
  <si>
    <t>PLO 3</t>
  </si>
  <si>
    <t>PLO 4</t>
  </si>
  <si>
    <t>PLO 5</t>
  </si>
  <si>
    <t>PLO 6</t>
  </si>
  <si>
    <t>Mức thu nhập / Tháng</t>
  </si>
  <si>
    <t>PLO 7</t>
  </si>
  <si>
    <t>PLO 8</t>
  </si>
  <si>
    <t>PLO 9</t>
  </si>
  <si>
    <t>PLO 10</t>
  </si>
  <si>
    <t>PLO 11</t>
  </si>
  <si>
    <t>PLO 12</t>
  </si>
  <si>
    <t>III. CHI TIẾT PHẢN HỒI &amp; GÓP Ý CỦA CỰU SINH VIÊN TRONG NGÀNH</t>
  </si>
  <si>
    <t>DASHBOARD THỐNG KÊ KHẢO SÁT Ý KIẾN CỰU SINH VIÊN</t>
  </si>
  <si>
    <t>Về chương trình đào tạo &amp; chất lượng việc làm sau tốt nghiệp - Khoa Cơ khí - Công nghệ, ĐH Nông Lâm TPHCM</t>
  </si>
  <si>
    <t>TỔNG CỰU SINH VIÊN</t>
  </si>
  <si>
    <t>I. CƠ CẤU CƠ QUAN LÀM VIỆC CỦA CỰU SINH VIÊN</t>
  </si>
  <si>
    <t>II. PHÂN BỐ THU NHẬP CỦA CỰU SINH VIÊN</t>
  </si>
  <si>
    <t>Tỷ lệ %</t>
  </si>
  <si>
    <t>III. CƠ CẤU NGÀNH HỌC CỦA CỰU SV KHẢO SÁT</t>
  </si>
  <si>
    <t>Ngành đào tạo</t>
  </si>
  <si>
    <t>PHÂN TÍCH CHUẨN ĐẦU RA (PLO) CỦA CÁC CHƯƠNG TRÌNH ĐÀO TẠO</t>
  </si>
  <si>
    <t>Cựu sinh viên đánh giá mức độ đạt được (Đạt) và mức độ cần thiết cho công việc (Cần)</t>
  </si>
  <si>
    <t>KT điều khiển và tự động hóa</t>
  </si>
  <si>
    <t>CNKT nhiệt</t>
  </si>
  <si>
    <t>CNKT cơ điện tử</t>
  </si>
  <si>
    <t>CNKT năng lượng tái tạo</t>
  </si>
  <si>
    <t>CNKT ô tô</t>
  </si>
  <si>
    <t>Đạt</t>
  </si>
  <si>
    <t>Cần</t>
  </si>
  <si>
    <t>TỔNG HỢP Ý KIẾN GÓP Ý &amp; ĐỀ XUẤT CỦA CỰU SINH VIÊN</t>
  </si>
  <si>
    <t>Lọc danh sách các góp ý từ cựu Sinh viên dựa theo chuyên ngành được chọn ở ô Dropdown trang Bộ lọc Cựu SV</t>
  </si>
  <si>
    <t>Họ và tên cựu SV</t>
  </si>
  <si>
    <t>Ý kiến đóng góp khác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</si>
</sst>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h:mm:ss"/>
    <numFmt numFmtId="165" formatCode="0.0%"/>
  </numFmts>
  <fonts count="11" x14ac:knownFonts="1">
    <font>
      <sz val="11"/>
      <color theme="1"/>
      <name val="Calibri"/>
      <family val="2"/>
      <scheme val="minor"/>
    </font>
    <font>
      <b/>
      <sz val="16"/>
      <color rgb="FF1B365D"/>
      <name val="Segoe UI"/>
    </font>
    <font>
      <i/>
      <sz val="10"/>
      <color rgb="FF666666"/>
      <name val="Segoe UI"/>
    </font>
    <font>
      <b/>
      <sz val="10"/>
      <color rgb="FF333333"/>
      <name val="Segoe UI"/>
    </font>
    <font>
      <b/>
      <sz val="20"/>
      <color rgb="FF1B365D"/>
      <name val="Segoe UI"/>
    </font>
    <font>
      <b/>
      <sz val="9"/>
      <color rgb="FF555555"/>
      <name val="Segoe UI"/>
    </font>
    <font>
      <b/>
      <sz val="12"/>
      <color rgb="FF1B365D"/>
      <name val="Segoe UI"/>
    </font>
    <font>
      <b/>
      <sz val="10"/>
      <color rgb="FFFFFFFF"/>
      <name val="Segoe UI"/>
    </font>
    <font>
      <sz val="10"/>
      <color rgb="FF333333"/>
      <name val="Segoe UI"/>
    </font>
    <font>
      <b/>
      <sz val="9"/>
      <color rgb="FFFFFFFF"/>
      <name val="Segoe UI"/>
    </font>
    <font>
      <b/>
      <sz val="9"/>
      <color theme="1"/>
      <name val="Segoe UI"/>
      <family val="2"/>
    </font>
  </fonts>
  <fills count="5">
    <fill>
      <patternFill patternType="none"/>
    </fill>
    <fill>
      <patternFill patternType="gray125"/>
    </fill>
    <fill>
      <patternFill patternType="solid">
        <fgColor rgb="FFEAEFF5"/>
        <bgColor rgb="FFEAEFF5"/>
      </patternFill>
    </fill>
    <fill>
      <patternFill patternType="solid">
        <fgColor rgb="FF1B365D"/>
        <bgColor rgb="FF1B365D"/>
      </patternFill>
    </fill>
    <fill>
      <patternFill patternType="solid">
        <fgColor rgb="FFF2F5F8"/>
        <bgColor rgb="FFF2F5F8"/>
      </patternFill>
    </fill>
  </fills>
  <borders count="2">
    <border>
      <left/>
      <right/>
      <top/>
      <bottom/>
      <diagonal/>
    </border>
    <border>
      <left style="thin">
        <color rgb="FFCCCCCC"/>
      </left>
      <right style="thin">
        <color rgb="FFCCCCCC"/>
      </right>
      <top style="thin">
        <color rgb="FFCCCCCC"/>
      </top>
      <bottom style="thin">
        <color rgb="FFCCCCCC"/>
      </bottom>
      <diagonal/>
    </border>
  </borders>
  <cellStyleXfs count="1">
    <xf numFmtId="0" fontId="0" fillId="0" borderId="0"/>
  </cellStyleXfs>
  <cellXfs count="30">
    <xf numFmtId="0" fontId="0" fillId="0" borderId="0" xfId="0"/>
    <xf numFmtId="164" fontId="0" fillId="0" borderId="0" xfId="0" applyNumberFormat="1"/>
    <xf numFmtId="0" fontId="1" fillId="0" borderId="0" xfId="0" applyFont="1"/>
    <xf numFmtId="0" fontId="2" fillId="0" borderId="0" xfId="0" applyFont="1"/>
    <xf numFmtId="0" fontId="3" fillId="0" borderId="0" xfId="0" applyFont="1"/>
    <xf numFmtId="0" fontId="6" fillId="0" borderId="0" xfId="0" applyFont="1"/>
    <xf numFmtId="0" fontId="7" fillId="3" borderId="0" xfId="0" applyFont="1" applyFill="1"/>
    <xf numFmtId="0" fontId="7" fillId="3" borderId="0" xfId="0" applyFont="1" applyFill="1" applyAlignment="1">
      <alignment horizontal="center" vertical="center" wrapText="1"/>
    </xf>
    <xf numFmtId="0" fontId="8" fillId="0" borderId="1" xfId="0" applyFont="1" applyBorder="1"/>
    <xf numFmtId="0" fontId="3" fillId="0" borderId="1" xfId="0" applyFont="1" applyBorder="1" applyAlignment="1">
      <alignment horizontal="center" vertical="center" wrapText="1"/>
    </xf>
    <xf numFmtId="0" fontId="8" fillId="0" borderId="1" xfId="0" applyFont="1" applyBorder="1" applyAlignment="1">
      <alignment horizontal="center" vertical="center" wrapText="1"/>
    </xf>
    <xf numFmtId="2" fontId="3" fillId="0" borderId="1" xfId="0" applyNumberFormat="1" applyFont="1" applyBorder="1" applyAlignment="1">
      <alignment horizontal="center" vertical="center" wrapText="1"/>
    </xf>
    <xf numFmtId="0" fontId="8" fillId="4" borderId="1" xfId="0" applyFont="1" applyFill="1" applyBorder="1"/>
    <xf numFmtId="0" fontId="3" fillId="4" borderId="1" xfId="0" applyFont="1" applyFill="1" applyBorder="1" applyAlignment="1">
      <alignment horizontal="center" vertical="center" wrapText="1"/>
    </xf>
    <xf numFmtId="0" fontId="8" fillId="4" borderId="1" xfId="0" applyFont="1" applyFill="1" applyBorder="1" applyAlignment="1">
      <alignment horizontal="center" vertical="center" wrapText="1"/>
    </xf>
    <xf numFmtId="2" fontId="3"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0" fillId="0" borderId="0" xfId="0" applyAlignment="1">
      <alignment horizontal="center" vertical="center" wrapText="1"/>
    </xf>
    <xf numFmtId="165" fontId="3" fillId="0" borderId="1" xfId="0" applyNumberFormat="1" applyFont="1" applyBorder="1" applyAlignment="1">
      <alignment horizontal="center" vertical="center" wrapText="1"/>
    </xf>
    <xf numFmtId="165" fontId="3" fillId="4" borderId="1" xfId="0" applyNumberFormat="1" applyFont="1" applyFill="1" applyBorder="1" applyAlignment="1">
      <alignment horizontal="center" vertical="center" wrapText="1"/>
    </xf>
    <xf numFmtId="0" fontId="8" fillId="3" borderId="1" xfId="0" applyFont="1" applyFill="1" applyBorder="1" applyAlignment="1">
      <alignment horizontal="center" vertical="center" wrapText="1"/>
    </xf>
    <xf numFmtId="0" fontId="7" fillId="3" borderId="0" xfId="0" applyFont="1" applyFill="1" applyAlignment="1">
      <alignment horizontal="left" vertical="center" wrapText="1"/>
    </xf>
    <xf numFmtId="0" fontId="0" fillId="0" borderId="0" xfId="0" applyAlignment="1">
      <alignment horizontal="left" vertical="center" wrapText="1"/>
    </xf>
    <xf numFmtId="0" fontId="0" fillId="0" borderId="0" xfId="0"/>
    <xf numFmtId="0" fontId="0" fillId="0" borderId="0" xfId="0" applyAlignment="1">
      <alignment horizontal="left" vertical="top" wrapText="1"/>
    </xf>
    <xf numFmtId="1" fontId="4" fillId="2" borderId="1" xfId="0" applyNumberFormat="1" applyFont="1" applyFill="1" applyBorder="1" applyAlignment="1">
      <alignment horizontal="center" vertical="center" wrapText="1"/>
    </xf>
    <xf numFmtId="0" fontId="0" fillId="0" borderId="1" xfId="0" applyBorder="1"/>
    <xf numFmtId="165" fontId="4" fillId="2" borderId="1" xfId="0" applyNumberFormat="1" applyFont="1" applyFill="1" applyBorder="1" applyAlignment="1">
      <alignment horizontal="center" vertical="center" wrapText="1"/>
    </xf>
    <xf numFmtId="0" fontId="5" fillId="2" borderId="1" xfId="0" applyFont="1" applyFill="1" applyBorder="1" applyAlignment="1">
      <alignment horizontal="center" vertical="center" wrapText="1"/>
    </xf>
    <xf numFmtId="0" fontId="9" fillId="3" borderId="0" xfId="0" applyFont="1" applyFill="1" applyAlignment="1">
      <alignment horizontal="center" vertical="center" wrapText="1"/>
    </xf>
  </cellXfs>
  <cellStyles count="1">
    <cellStyle name="Normal" xfId="0" builtinId="0"/>
  </cellStyles>
  <dxfs count="280">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63500</xdr:colOff>
          <xdr:row>4</xdr:row>
          <xdr:rowOff>63500</xdr:rowOff>
        </xdr:from>
        <xdr:to>
          <xdr:col>13</xdr:col>
          <xdr:colOff>12700</xdr:colOff>
          <xdr:row>6</xdr:row>
          <xdr:rowOff>101600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A16A82B-3043-0ACD-D04D-2A1EB0725BD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900" b="1" i="0" u="none" strike="noStrike" baseline="0">
                  <a:solidFill>
                    <a:srgbClr val="000000"/>
                  </a:solidFill>
                  <a:latin typeface="Segoe UI"/>
                  <a:cs typeface="Segoe UI"/>
                </a:rPr>
                <a:t>ĐỒNG BỘ DỮ LIỆU</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Z63"/>
  <sheetViews>
    <sheetView tabSelected="1" workbookViewId="0"/>
  </sheetViews>
  <sheetFormatPr defaultRowHeight="14.5" x14ac:dyDescent="0.35"/>
  <sheetData>
    <row r="1" spans="1:52"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row>
    <row r="2" spans="1:52" x14ac:dyDescent="0.35">
      <c r="A2" t="str">
        <f>IF(E2='Bộ lọc Cựu SV'!$C$5, MAX($A$1:A1)+1, "")</f>
        <v/>
      </c>
      <c r="B2" s="1">
        <v>46043.638723981479</v>
      </c>
      <c r="C2" t="s">
        <v>52</v>
      </c>
      <c r="D2" t="s">
        <v>53</v>
      </c>
      <c r="E2" t="s">
        <v>54</v>
      </c>
      <c r="F2" t="s">
        <v>55</v>
      </c>
      <c r="G2" t="s">
        <v>56</v>
      </c>
      <c r="H2" t="s">
        <v>57</v>
      </c>
      <c r="I2" t="s">
        <v>58</v>
      </c>
      <c r="J2" t="s">
        <v>59</v>
      </c>
      <c r="K2" t="s">
        <v>60</v>
      </c>
      <c r="M2" t="s">
        <v>61</v>
      </c>
      <c r="N2" t="s">
        <v>62</v>
      </c>
      <c r="O2" t="s">
        <v>63</v>
      </c>
      <c r="P2" t="s">
        <v>64</v>
      </c>
      <c r="Q2" t="s">
        <v>65</v>
      </c>
      <c r="R2" t="s">
        <v>66</v>
      </c>
      <c r="T2" t="s">
        <v>67</v>
      </c>
      <c r="U2" t="s">
        <v>67</v>
      </c>
      <c r="V2" t="s">
        <v>68</v>
      </c>
      <c r="W2" t="s">
        <v>68</v>
      </c>
      <c r="X2" t="s">
        <v>68</v>
      </c>
      <c r="Y2">
        <v>5</v>
      </c>
      <c r="Z2">
        <v>5</v>
      </c>
      <c r="AA2">
        <v>5</v>
      </c>
      <c r="AB2">
        <v>5</v>
      </c>
      <c r="AC2">
        <v>5</v>
      </c>
      <c r="AD2">
        <v>5</v>
      </c>
      <c r="AE2">
        <v>5</v>
      </c>
      <c r="AF2">
        <v>3</v>
      </c>
      <c r="AG2">
        <v>4</v>
      </c>
      <c r="AH2">
        <v>1</v>
      </c>
      <c r="AI2">
        <v>3</v>
      </c>
      <c r="AJ2">
        <v>4</v>
      </c>
      <c r="AK2">
        <v>5</v>
      </c>
      <c r="AL2">
        <v>4</v>
      </c>
      <c r="AM2">
        <v>3</v>
      </c>
      <c r="AN2">
        <v>2</v>
      </c>
      <c r="AO2">
        <v>1</v>
      </c>
      <c r="AP2">
        <v>2</v>
      </c>
      <c r="AQ2">
        <v>3</v>
      </c>
      <c r="AR2">
        <v>4</v>
      </c>
      <c r="AS2">
        <v>5</v>
      </c>
      <c r="AT2">
        <v>4</v>
      </c>
      <c r="AU2">
        <v>3</v>
      </c>
      <c r="AV2">
        <v>2</v>
      </c>
      <c r="AW2" t="s">
        <v>69</v>
      </c>
      <c r="AX2" t="s">
        <v>70</v>
      </c>
    </row>
    <row r="3" spans="1:52" x14ac:dyDescent="0.35">
      <c r="A3" t="str">
        <f>IF(E3='Bộ lọc Cựu SV'!$C$5, MAX($A$1:A2)+1, "")</f>
        <v/>
      </c>
      <c r="B3" s="1">
        <v>46043.673528761567</v>
      </c>
      <c r="D3" t="s">
        <v>53</v>
      </c>
      <c r="F3">
        <v>3333</v>
      </c>
      <c r="J3" t="s">
        <v>71</v>
      </c>
      <c r="K3" t="s">
        <v>60</v>
      </c>
      <c r="L3" t="s">
        <v>72</v>
      </c>
      <c r="M3" t="s">
        <v>61</v>
      </c>
      <c r="N3" t="s">
        <v>62</v>
      </c>
      <c r="O3" t="s">
        <v>63</v>
      </c>
      <c r="P3" t="s">
        <v>73</v>
      </c>
      <c r="Q3" t="s">
        <v>74</v>
      </c>
      <c r="R3" t="s">
        <v>75</v>
      </c>
      <c r="S3" t="s">
        <v>76</v>
      </c>
      <c r="T3" t="s">
        <v>77</v>
      </c>
      <c r="U3" t="s">
        <v>78</v>
      </c>
      <c r="V3" t="s">
        <v>79</v>
      </c>
      <c r="W3" t="s">
        <v>79</v>
      </c>
      <c r="X3" t="s">
        <v>79</v>
      </c>
      <c r="Y3">
        <v>2</v>
      </c>
      <c r="Z3">
        <v>3</v>
      </c>
      <c r="AA3">
        <v>3</v>
      </c>
      <c r="AB3">
        <v>2</v>
      </c>
      <c r="AC3">
        <v>2</v>
      </c>
      <c r="AD3">
        <v>2</v>
      </c>
      <c r="AE3">
        <v>2</v>
      </c>
      <c r="AF3">
        <v>2</v>
      </c>
      <c r="AG3">
        <v>2</v>
      </c>
      <c r="AH3">
        <v>2</v>
      </c>
      <c r="AI3">
        <v>2</v>
      </c>
      <c r="AJ3">
        <v>2</v>
      </c>
      <c r="AK3">
        <v>2</v>
      </c>
      <c r="AL3">
        <v>2</v>
      </c>
      <c r="AM3">
        <v>2</v>
      </c>
      <c r="AN3">
        <v>2</v>
      </c>
      <c r="AO3">
        <v>2</v>
      </c>
      <c r="AP3">
        <v>2</v>
      </c>
      <c r="AQ3">
        <v>2</v>
      </c>
      <c r="AR3">
        <v>2</v>
      </c>
      <c r="AS3">
        <v>2</v>
      </c>
      <c r="AT3">
        <v>2</v>
      </c>
      <c r="AU3">
        <v>2</v>
      </c>
      <c r="AV3">
        <v>2</v>
      </c>
    </row>
    <row r="4" spans="1:52" x14ac:dyDescent="0.35">
      <c r="A4" t="str">
        <f>IF(E4='Bộ lọc Cựu SV'!$C$5, MAX($A$1:A3)+1, "")</f>
        <v/>
      </c>
      <c r="B4" s="1">
        <v>46044.642565833332</v>
      </c>
      <c r="D4" t="s">
        <v>80</v>
      </c>
      <c r="E4" t="s">
        <v>81</v>
      </c>
      <c r="F4">
        <v>2015</v>
      </c>
      <c r="J4" t="s">
        <v>82</v>
      </c>
      <c r="K4" t="s">
        <v>60</v>
      </c>
      <c r="M4" t="s">
        <v>61</v>
      </c>
      <c r="N4" t="s">
        <v>83</v>
      </c>
      <c r="O4" t="s">
        <v>63</v>
      </c>
      <c r="P4" t="s">
        <v>84</v>
      </c>
      <c r="Q4" t="s">
        <v>74</v>
      </c>
      <c r="R4" t="s">
        <v>66</v>
      </c>
      <c r="S4" t="s">
        <v>76</v>
      </c>
      <c r="V4" t="s">
        <v>79</v>
      </c>
      <c r="W4" t="s">
        <v>85</v>
      </c>
      <c r="X4" t="s">
        <v>79</v>
      </c>
      <c r="Y4">
        <v>2</v>
      </c>
      <c r="Z4">
        <v>3</v>
      </c>
      <c r="AA4">
        <v>3</v>
      </c>
      <c r="AB4">
        <v>3</v>
      </c>
      <c r="AC4">
        <v>3</v>
      </c>
      <c r="AD4">
        <v>3</v>
      </c>
      <c r="AE4">
        <v>3</v>
      </c>
      <c r="AF4">
        <v>3</v>
      </c>
      <c r="AG4">
        <v>3</v>
      </c>
      <c r="AH4">
        <v>3</v>
      </c>
      <c r="AI4">
        <v>3</v>
      </c>
      <c r="AJ4">
        <v>3</v>
      </c>
      <c r="AK4">
        <v>1</v>
      </c>
      <c r="AL4">
        <v>1</v>
      </c>
      <c r="AM4">
        <v>2</v>
      </c>
      <c r="AN4">
        <v>2</v>
      </c>
      <c r="AO4">
        <v>2</v>
      </c>
      <c r="AP4">
        <v>2</v>
      </c>
      <c r="AQ4">
        <v>3</v>
      </c>
      <c r="AR4">
        <v>3</v>
      </c>
      <c r="AS4">
        <v>3</v>
      </c>
      <c r="AT4">
        <v>3</v>
      </c>
      <c r="AU4">
        <v>3</v>
      </c>
      <c r="AV4">
        <v>3</v>
      </c>
    </row>
    <row r="5" spans="1:52" x14ac:dyDescent="0.35">
      <c r="A5">
        <f>IF(E5='Bộ lọc Cựu SV'!$C$5, MAX($A$1:A4)+1, "")</f>
        <v>1</v>
      </c>
      <c r="B5" s="1">
        <v>46100.450401562499</v>
      </c>
      <c r="C5" t="s">
        <v>86</v>
      </c>
      <c r="D5" t="s">
        <v>53</v>
      </c>
      <c r="E5" t="s">
        <v>87</v>
      </c>
      <c r="F5" t="s">
        <v>88</v>
      </c>
      <c r="J5" t="s">
        <v>89</v>
      </c>
      <c r="K5" t="s">
        <v>60</v>
      </c>
      <c r="M5" t="s">
        <v>61</v>
      </c>
      <c r="N5" t="s">
        <v>62</v>
      </c>
      <c r="O5" t="s">
        <v>90</v>
      </c>
      <c r="P5" t="s">
        <v>91</v>
      </c>
      <c r="Q5" t="s">
        <v>65</v>
      </c>
      <c r="R5" t="s">
        <v>92</v>
      </c>
      <c r="T5" t="s">
        <v>77</v>
      </c>
      <c r="U5" t="s">
        <v>77</v>
      </c>
      <c r="V5" t="s">
        <v>79</v>
      </c>
      <c r="W5" t="s">
        <v>79</v>
      </c>
      <c r="X5" t="s">
        <v>79</v>
      </c>
      <c r="Y5">
        <v>2</v>
      </c>
      <c r="Z5">
        <v>2</v>
      </c>
      <c r="AA5">
        <v>2</v>
      </c>
      <c r="AB5">
        <v>2</v>
      </c>
      <c r="AC5">
        <v>2</v>
      </c>
      <c r="AD5">
        <v>2</v>
      </c>
      <c r="AE5">
        <v>2</v>
      </c>
      <c r="AF5">
        <v>2</v>
      </c>
      <c r="AG5">
        <v>2</v>
      </c>
      <c r="AH5">
        <v>2</v>
      </c>
      <c r="AI5">
        <v>2</v>
      </c>
      <c r="AJ5">
        <v>2</v>
      </c>
      <c r="AK5">
        <v>3</v>
      </c>
      <c r="AL5">
        <v>3</v>
      </c>
      <c r="AM5">
        <v>3</v>
      </c>
      <c r="AN5">
        <v>3</v>
      </c>
      <c r="AO5">
        <v>3</v>
      </c>
      <c r="AP5">
        <v>3</v>
      </c>
      <c r="AQ5">
        <v>3</v>
      </c>
      <c r="AR5">
        <v>3</v>
      </c>
      <c r="AS5">
        <v>3</v>
      </c>
      <c r="AT5">
        <v>3</v>
      </c>
      <c r="AU5">
        <v>3</v>
      </c>
      <c r="AV5">
        <v>3</v>
      </c>
      <c r="AY5" t="s">
        <v>93</v>
      </c>
    </row>
    <row r="6" spans="1:52" x14ac:dyDescent="0.35">
      <c r="A6">
        <f>IF(E6='Bộ lọc Cựu SV'!$C$5, MAX($A$1:A5)+1, "")</f>
        <v>2</v>
      </c>
      <c r="B6" s="1">
        <v>46100.450735416664</v>
      </c>
      <c r="C6" t="s">
        <v>94</v>
      </c>
      <c r="D6" t="s">
        <v>80</v>
      </c>
      <c r="E6" t="s">
        <v>87</v>
      </c>
      <c r="F6" t="s">
        <v>95</v>
      </c>
      <c r="G6" t="s">
        <v>96</v>
      </c>
      <c r="H6" t="s">
        <v>97</v>
      </c>
      <c r="I6" t="s">
        <v>98</v>
      </c>
      <c r="J6" t="s">
        <v>99</v>
      </c>
      <c r="K6" t="s">
        <v>60</v>
      </c>
      <c r="M6" t="s">
        <v>61</v>
      </c>
      <c r="N6" t="s">
        <v>100</v>
      </c>
      <c r="O6" t="s">
        <v>90</v>
      </c>
      <c r="P6" t="s">
        <v>91</v>
      </c>
      <c r="Q6" t="s">
        <v>101</v>
      </c>
      <c r="R6" t="s">
        <v>92</v>
      </c>
      <c r="S6" t="s">
        <v>102</v>
      </c>
      <c r="T6" t="s">
        <v>77</v>
      </c>
      <c r="U6" t="s">
        <v>77</v>
      </c>
      <c r="V6" t="s">
        <v>79</v>
      </c>
      <c r="W6" t="s">
        <v>79</v>
      </c>
      <c r="X6" t="s">
        <v>79</v>
      </c>
      <c r="Y6">
        <v>4</v>
      </c>
      <c r="Z6">
        <v>3</v>
      </c>
      <c r="AA6">
        <v>4</v>
      </c>
      <c r="AB6">
        <v>4</v>
      </c>
      <c r="AC6">
        <v>4</v>
      </c>
      <c r="AD6">
        <v>4</v>
      </c>
      <c r="AE6">
        <v>4</v>
      </c>
      <c r="AF6">
        <v>4</v>
      </c>
      <c r="AG6">
        <v>4</v>
      </c>
      <c r="AH6">
        <v>4</v>
      </c>
      <c r="AI6">
        <v>4</v>
      </c>
      <c r="AJ6">
        <v>4</v>
      </c>
      <c r="AK6">
        <v>4</v>
      </c>
      <c r="AL6">
        <v>4</v>
      </c>
      <c r="AM6">
        <v>4</v>
      </c>
      <c r="AN6">
        <v>4</v>
      </c>
      <c r="AO6">
        <v>4</v>
      </c>
      <c r="AP6">
        <v>4</v>
      </c>
      <c r="AQ6">
        <v>4</v>
      </c>
      <c r="AR6">
        <v>4</v>
      </c>
      <c r="AS6">
        <v>4</v>
      </c>
      <c r="AT6">
        <v>4</v>
      </c>
      <c r="AU6">
        <v>4</v>
      </c>
      <c r="AV6">
        <v>4</v>
      </c>
      <c r="AW6" t="s">
        <v>103</v>
      </c>
      <c r="AX6" t="s">
        <v>104</v>
      </c>
      <c r="AY6" t="s">
        <v>105</v>
      </c>
      <c r="AZ6" t="s">
        <v>106</v>
      </c>
    </row>
    <row r="7" spans="1:52" x14ac:dyDescent="0.35">
      <c r="A7">
        <f>IF(E7='Bộ lọc Cựu SV'!$C$5, MAX($A$1:A6)+1, "")</f>
        <v>3</v>
      </c>
      <c r="B7" s="1">
        <v>46100.457069074073</v>
      </c>
      <c r="C7" t="s">
        <v>107</v>
      </c>
      <c r="D7" t="s">
        <v>53</v>
      </c>
      <c r="E7" t="s">
        <v>87</v>
      </c>
      <c r="F7" t="s">
        <v>108</v>
      </c>
      <c r="G7" t="s">
        <v>109</v>
      </c>
      <c r="H7">
        <v>964504506</v>
      </c>
      <c r="I7" t="s">
        <v>110</v>
      </c>
      <c r="J7" t="s">
        <v>111</v>
      </c>
      <c r="K7" t="s">
        <v>60</v>
      </c>
      <c r="M7" t="s">
        <v>61</v>
      </c>
      <c r="N7" t="s">
        <v>112</v>
      </c>
      <c r="O7" t="s">
        <v>90</v>
      </c>
      <c r="P7" t="s">
        <v>84</v>
      </c>
      <c r="Q7" t="s">
        <v>65</v>
      </c>
      <c r="R7" t="s">
        <v>75</v>
      </c>
      <c r="S7" t="s">
        <v>76</v>
      </c>
      <c r="T7" t="s">
        <v>77</v>
      </c>
      <c r="U7" t="s">
        <v>77</v>
      </c>
      <c r="V7" t="s">
        <v>68</v>
      </c>
      <c r="W7" t="s">
        <v>68</v>
      </c>
      <c r="X7" t="s">
        <v>68</v>
      </c>
      <c r="Y7">
        <v>4</v>
      </c>
      <c r="Z7">
        <v>4</v>
      </c>
      <c r="AA7">
        <v>5</v>
      </c>
      <c r="AB7">
        <v>5</v>
      </c>
      <c r="AC7">
        <v>4</v>
      </c>
      <c r="AD7">
        <v>5</v>
      </c>
      <c r="AE7">
        <v>5</v>
      </c>
      <c r="AF7">
        <v>5</v>
      </c>
      <c r="AG7">
        <v>5</v>
      </c>
      <c r="AH7">
        <v>5</v>
      </c>
      <c r="AI7">
        <v>5</v>
      </c>
      <c r="AJ7">
        <v>4</v>
      </c>
      <c r="AK7">
        <v>4</v>
      </c>
      <c r="AL7">
        <v>4</v>
      </c>
      <c r="AM7">
        <v>4</v>
      </c>
      <c r="AN7">
        <v>4</v>
      </c>
      <c r="AO7">
        <v>4</v>
      </c>
      <c r="AP7">
        <v>4</v>
      </c>
      <c r="AQ7">
        <v>4</v>
      </c>
      <c r="AR7">
        <v>4</v>
      </c>
      <c r="AS7">
        <v>4</v>
      </c>
      <c r="AT7">
        <v>4</v>
      </c>
      <c r="AU7">
        <v>4</v>
      </c>
      <c r="AV7">
        <v>4</v>
      </c>
    </row>
    <row r="8" spans="1:52" x14ac:dyDescent="0.35">
      <c r="A8">
        <f>IF(E8='Bộ lọc Cựu SV'!$C$5, MAX($A$1:A7)+1, "")</f>
        <v>4</v>
      </c>
      <c r="B8" s="1">
        <v>46100.462372708331</v>
      </c>
      <c r="C8" t="s">
        <v>113</v>
      </c>
      <c r="D8" t="s">
        <v>53</v>
      </c>
      <c r="E8" t="s">
        <v>87</v>
      </c>
      <c r="F8" t="s">
        <v>114</v>
      </c>
      <c r="H8" t="s">
        <v>115</v>
      </c>
      <c r="I8" t="s">
        <v>116</v>
      </c>
      <c r="J8" t="s">
        <v>117</v>
      </c>
      <c r="K8" t="s">
        <v>60</v>
      </c>
      <c r="M8" t="s">
        <v>61</v>
      </c>
      <c r="N8" t="s">
        <v>118</v>
      </c>
      <c r="O8" t="s">
        <v>90</v>
      </c>
      <c r="P8" t="s">
        <v>73</v>
      </c>
      <c r="Q8" t="s">
        <v>119</v>
      </c>
      <c r="R8" t="s">
        <v>92</v>
      </c>
      <c r="T8" t="s">
        <v>67</v>
      </c>
      <c r="U8" t="s">
        <v>77</v>
      </c>
      <c r="V8" t="s">
        <v>79</v>
      </c>
      <c r="W8" t="s">
        <v>79</v>
      </c>
      <c r="X8" t="s">
        <v>79</v>
      </c>
      <c r="Y8">
        <v>4</v>
      </c>
      <c r="Z8">
        <v>3</v>
      </c>
      <c r="AA8">
        <v>5</v>
      </c>
      <c r="AB8">
        <v>4</v>
      </c>
      <c r="AC8">
        <v>4</v>
      </c>
      <c r="AD8">
        <v>3</v>
      </c>
      <c r="AE8">
        <v>5</v>
      </c>
      <c r="AF8">
        <v>4</v>
      </c>
      <c r="AG8">
        <v>5</v>
      </c>
      <c r="AH8">
        <v>4</v>
      </c>
      <c r="AI8">
        <v>2</v>
      </c>
      <c r="AJ8">
        <v>4</v>
      </c>
      <c r="AK8">
        <v>4</v>
      </c>
      <c r="AL8">
        <v>4</v>
      </c>
      <c r="AM8">
        <v>4</v>
      </c>
      <c r="AN8">
        <v>4</v>
      </c>
      <c r="AO8">
        <v>4</v>
      </c>
      <c r="AP8">
        <v>4</v>
      </c>
      <c r="AQ8">
        <v>4</v>
      </c>
      <c r="AR8">
        <v>4</v>
      </c>
      <c r="AS8">
        <v>4</v>
      </c>
      <c r="AT8">
        <v>4</v>
      </c>
      <c r="AU8">
        <v>4</v>
      </c>
      <c r="AV8">
        <v>4</v>
      </c>
      <c r="AX8" t="s">
        <v>120</v>
      </c>
      <c r="AY8" t="s">
        <v>121</v>
      </c>
    </row>
    <row r="9" spans="1:52" x14ac:dyDescent="0.35">
      <c r="A9">
        <f>IF(E9='Bộ lọc Cựu SV'!$C$5, MAX($A$1:A8)+1, "")</f>
        <v>5</v>
      </c>
      <c r="B9" s="1">
        <v>46100.46492997685</v>
      </c>
      <c r="C9" t="s">
        <v>122</v>
      </c>
      <c r="D9" t="s">
        <v>53</v>
      </c>
      <c r="E9" t="s">
        <v>87</v>
      </c>
      <c r="F9" t="s">
        <v>123</v>
      </c>
      <c r="G9" t="s">
        <v>124</v>
      </c>
      <c r="H9" t="s">
        <v>125</v>
      </c>
      <c r="I9" t="s">
        <v>126</v>
      </c>
      <c r="J9" t="s">
        <v>127</v>
      </c>
      <c r="K9" t="s">
        <v>60</v>
      </c>
      <c r="M9" t="s">
        <v>61</v>
      </c>
      <c r="N9" t="s">
        <v>128</v>
      </c>
      <c r="O9" t="s">
        <v>129</v>
      </c>
      <c r="P9" t="s">
        <v>130</v>
      </c>
      <c r="Q9" t="s">
        <v>65</v>
      </c>
      <c r="R9" t="s">
        <v>75</v>
      </c>
      <c r="T9" t="s">
        <v>67</v>
      </c>
      <c r="U9" t="s">
        <v>77</v>
      </c>
      <c r="V9" t="s">
        <v>79</v>
      </c>
      <c r="W9" t="s">
        <v>68</v>
      </c>
      <c r="X9" t="s">
        <v>79</v>
      </c>
      <c r="Y9">
        <v>5</v>
      </c>
      <c r="Z9">
        <v>2</v>
      </c>
      <c r="AA9">
        <v>4</v>
      </c>
      <c r="AB9">
        <v>4</v>
      </c>
      <c r="AC9">
        <v>1</v>
      </c>
      <c r="AD9">
        <v>3</v>
      </c>
      <c r="AE9">
        <v>4</v>
      </c>
      <c r="AF9">
        <v>4</v>
      </c>
      <c r="AG9">
        <v>4</v>
      </c>
      <c r="AH9">
        <v>3</v>
      </c>
      <c r="AI9">
        <v>2</v>
      </c>
      <c r="AJ9">
        <v>4</v>
      </c>
      <c r="AK9">
        <v>5</v>
      </c>
      <c r="AL9">
        <v>1</v>
      </c>
      <c r="AM9">
        <v>4</v>
      </c>
      <c r="AN9">
        <v>5</v>
      </c>
      <c r="AO9">
        <v>3</v>
      </c>
      <c r="AP9">
        <v>4</v>
      </c>
      <c r="AQ9">
        <v>4</v>
      </c>
      <c r="AR9">
        <v>5</v>
      </c>
      <c r="AS9">
        <v>4</v>
      </c>
      <c r="AT9">
        <v>4</v>
      </c>
      <c r="AU9">
        <v>2</v>
      </c>
      <c r="AV9">
        <v>3</v>
      </c>
      <c r="AX9" t="s">
        <v>131</v>
      </c>
      <c r="AY9" t="s">
        <v>132</v>
      </c>
    </row>
    <row r="10" spans="1:52" x14ac:dyDescent="0.35">
      <c r="A10">
        <f>IF(E10='Bộ lọc Cựu SV'!$C$5, MAX($A$1:A9)+1, "")</f>
        <v>6</v>
      </c>
      <c r="B10" s="1">
        <v>46100.473805127323</v>
      </c>
      <c r="C10" t="s">
        <v>133</v>
      </c>
      <c r="D10" t="s">
        <v>53</v>
      </c>
      <c r="E10" t="s">
        <v>87</v>
      </c>
      <c r="F10" t="s">
        <v>134</v>
      </c>
      <c r="G10" t="s">
        <v>135</v>
      </c>
      <c r="H10" t="s">
        <v>136</v>
      </c>
      <c r="I10" t="s">
        <v>137</v>
      </c>
      <c r="J10" t="s">
        <v>138</v>
      </c>
      <c r="K10" t="s">
        <v>60</v>
      </c>
      <c r="L10" t="s">
        <v>139</v>
      </c>
      <c r="M10" t="s">
        <v>61</v>
      </c>
      <c r="N10" t="s">
        <v>100</v>
      </c>
      <c r="O10" t="s">
        <v>90</v>
      </c>
      <c r="P10" t="s">
        <v>91</v>
      </c>
      <c r="Q10" t="s">
        <v>101</v>
      </c>
      <c r="R10" t="s">
        <v>66</v>
      </c>
      <c r="S10" t="s">
        <v>139</v>
      </c>
      <c r="T10" t="s">
        <v>77</v>
      </c>
      <c r="U10" t="s">
        <v>77</v>
      </c>
      <c r="V10" t="s">
        <v>79</v>
      </c>
      <c r="W10" t="s">
        <v>68</v>
      </c>
      <c r="X10" t="s">
        <v>68</v>
      </c>
      <c r="Y10">
        <v>4</v>
      </c>
      <c r="Z10">
        <v>2</v>
      </c>
      <c r="AA10">
        <v>4</v>
      </c>
      <c r="AB10">
        <v>4</v>
      </c>
      <c r="AC10">
        <v>4</v>
      </c>
      <c r="AD10">
        <v>4</v>
      </c>
      <c r="AE10">
        <v>5</v>
      </c>
      <c r="AF10">
        <v>5</v>
      </c>
      <c r="AG10">
        <v>5</v>
      </c>
      <c r="AH10">
        <v>5</v>
      </c>
      <c r="AI10">
        <v>3</v>
      </c>
      <c r="AJ10">
        <v>4</v>
      </c>
      <c r="AK10">
        <v>5</v>
      </c>
      <c r="AL10">
        <v>5</v>
      </c>
      <c r="AM10">
        <v>5</v>
      </c>
      <c r="AN10">
        <v>5</v>
      </c>
      <c r="AO10">
        <v>5</v>
      </c>
      <c r="AP10">
        <v>5</v>
      </c>
      <c r="AQ10">
        <v>5</v>
      </c>
      <c r="AR10">
        <v>5</v>
      </c>
      <c r="AS10">
        <v>5</v>
      </c>
      <c r="AT10">
        <v>5</v>
      </c>
      <c r="AU10">
        <v>5</v>
      </c>
      <c r="AV10">
        <v>5</v>
      </c>
      <c r="AW10" t="s">
        <v>140</v>
      </c>
      <c r="AX10" t="s">
        <v>141</v>
      </c>
      <c r="AY10" t="s">
        <v>142</v>
      </c>
      <c r="AZ10" t="s">
        <v>143</v>
      </c>
    </row>
    <row r="11" spans="1:52" x14ac:dyDescent="0.35">
      <c r="A11">
        <f>IF(E11='Bộ lọc Cựu SV'!$C$5, MAX($A$1:A10)+1, "")</f>
        <v>7</v>
      </c>
      <c r="B11" s="1">
        <v>46100.490534432873</v>
      </c>
      <c r="C11" t="s">
        <v>144</v>
      </c>
      <c r="D11" t="s">
        <v>53</v>
      </c>
      <c r="E11" t="s">
        <v>87</v>
      </c>
      <c r="F11" t="s">
        <v>145</v>
      </c>
      <c r="G11" t="s">
        <v>146</v>
      </c>
      <c r="H11" t="s">
        <v>147</v>
      </c>
      <c r="I11" t="s">
        <v>148</v>
      </c>
      <c r="J11" t="s">
        <v>149</v>
      </c>
      <c r="K11" t="s">
        <v>60</v>
      </c>
      <c r="M11" t="s">
        <v>61</v>
      </c>
      <c r="N11" t="s">
        <v>112</v>
      </c>
      <c r="O11" t="s">
        <v>90</v>
      </c>
      <c r="P11" t="s">
        <v>84</v>
      </c>
      <c r="Q11" t="s">
        <v>119</v>
      </c>
      <c r="R11" t="s">
        <v>66</v>
      </c>
      <c r="T11" t="s">
        <v>77</v>
      </c>
      <c r="U11" t="s">
        <v>77</v>
      </c>
      <c r="V11" t="s">
        <v>79</v>
      </c>
      <c r="W11" t="s">
        <v>79</v>
      </c>
      <c r="X11" t="s">
        <v>79</v>
      </c>
      <c r="Y11">
        <v>4</v>
      </c>
      <c r="Z11">
        <v>4</v>
      </c>
      <c r="AA11">
        <v>4</v>
      </c>
      <c r="AB11">
        <v>4</v>
      </c>
      <c r="AC11">
        <v>4</v>
      </c>
      <c r="AD11">
        <v>4</v>
      </c>
      <c r="AE11">
        <v>4</v>
      </c>
      <c r="AF11">
        <v>4</v>
      </c>
      <c r="AG11">
        <v>4</v>
      </c>
      <c r="AH11">
        <v>4</v>
      </c>
      <c r="AI11">
        <v>5</v>
      </c>
      <c r="AJ11">
        <v>3</v>
      </c>
      <c r="AK11">
        <v>5</v>
      </c>
      <c r="AL11">
        <v>5</v>
      </c>
      <c r="AM11">
        <v>5</v>
      </c>
      <c r="AN11">
        <v>5</v>
      </c>
      <c r="AO11">
        <v>5</v>
      </c>
      <c r="AP11">
        <v>5</v>
      </c>
      <c r="AQ11">
        <v>5</v>
      </c>
      <c r="AR11">
        <v>5</v>
      </c>
      <c r="AS11">
        <v>5</v>
      </c>
      <c r="AT11">
        <v>5</v>
      </c>
      <c r="AU11">
        <v>5</v>
      </c>
      <c r="AV11">
        <v>5</v>
      </c>
      <c r="AW11" t="s">
        <v>150</v>
      </c>
      <c r="AX11" t="s">
        <v>141</v>
      </c>
      <c r="AY11" t="s">
        <v>151</v>
      </c>
      <c r="AZ11" t="s">
        <v>141</v>
      </c>
    </row>
    <row r="12" spans="1:52" x14ac:dyDescent="0.35">
      <c r="A12">
        <f>IF(E12='Bộ lọc Cựu SV'!$C$5, MAX($A$1:A11)+1, "")</f>
        <v>8</v>
      </c>
      <c r="B12" s="1">
        <v>46100.718929456023</v>
      </c>
      <c r="C12" t="s">
        <v>152</v>
      </c>
      <c r="D12" t="s">
        <v>53</v>
      </c>
      <c r="E12" t="s">
        <v>87</v>
      </c>
      <c r="F12">
        <v>2013</v>
      </c>
      <c r="H12" t="s">
        <v>153</v>
      </c>
      <c r="I12" t="s">
        <v>154</v>
      </c>
      <c r="J12" t="s">
        <v>155</v>
      </c>
      <c r="K12" t="s">
        <v>60</v>
      </c>
      <c r="M12" t="s">
        <v>61</v>
      </c>
      <c r="N12" t="s">
        <v>62</v>
      </c>
      <c r="O12" t="s">
        <v>129</v>
      </c>
      <c r="P12" t="s">
        <v>130</v>
      </c>
      <c r="Q12" t="s">
        <v>65</v>
      </c>
      <c r="R12" t="s">
        <v>66</v>
      </c>
      <c r="T12" t="s">
        <v>77</v>
      </c>
      <c r="U12" t="s">
        <v>77</v>
      </c>
      <c r="V12" t="s">
        <v>79</v>
      </c>
      <c r="W12" t="s">
        <v>79</v>
      </c>
      <c r="X12" t="s">
        <v>79</v>
      </c>
      <c r="Y12">
        <v>4</v>
      </c>
      <c r="Z12">
        <v>4</v>
      </c>
      <c r="AA12">
        <v>4</v>
      </c>
      <c r="AB12">
        <v>4</v>
      </c>
      <c r="AC12">
        <v>4</v>
      </c>
      <c r="AD12">
        <v>4</v>
      </c>
      <c r="AE12">
        <v>5</v>
      </c>
      <c r="AF12">
        <v>5</v>
      </c>
      <c r="AG12">
        <v>4</v>
      </c>
      <c r="AH12">
        <v>4</v>
      </c>
      <c r="AI12">
        <v>4</v>
      </c>
      <c r="AJ12">
        <v>4</v>
      </c>
      <c r="AK12">
        <v>4</v>
      </c>
      <c r="AL12">
        <v>4</v>
      </c>
      <c r="AM12">
        <v>4</v>
      </c>
      <c r="AN12">
        <v>4</v>
      </c>
      <c r="AO12">
        <v>4</v>
      </c>
      <c r="AP12">
        <v>4</v>
      </c>
      <c r="AQ12">
        <v>4</v>
      </c>
      <c r="AR12">
        <v>4</v>
      </c>
      <c r="AS12">
        <v>4</v>
      </c>
      <c r="AT12">
        <v>4</v>
      </c>
      <c r="AU12">
        <v>4</v>
      </c>
      <c r="AV12">
        <v>4</v>
      </c>
      <c r="AY12" t="s">
        <v>156</v>
      </c>
      <c r="AZ12" t="s">
        <v>157</v>
      </c>
    </row>
    <row r="13" spans="1:52" x14ac:dyDescent="0.35">
      <c r="A13" t="str">
        <f>IF(E13='Bộ lọc Cựu SV'!$C$5, MAX($A$1:A12)+1, "")</f>
        <v/>
      </c>
      <c r="B13" s="1">
        <v>46103.927534594914</v>
      </c>
      <c r="C13" t="s">
        <v>158</v>
      </c>
      <c r="D13" t="s">
        <v>53</v>
      </c>
      <c r="E13" t="s">
        <v>81</v>
      </c>
      <c r="F13" t="s">
        <v>159</v>
      </c>
      <c r="G13" t="s">
        <v>160</v>
      </c>
      <c r="H13" t="s">
        <v>161</v>
      </c>
      <c r="I13" t="s">
        <v>162</v>
      </c>
      <c r="J13" t="s">
        <v>163</v>
      </c>
      <c r="K13" t="s">
        <v>60</v>
      </c>
      <c r="M13" t="s">
        <v>61</v>
      </c>
      <c r="N13" t="s">
        <v>100</v>
      </c>
      <c r="O13" t="s">
        <v>90</v>
      </c>
      <c r="P13" t="s">
        <v>164</v>
      </c>
      <c r="Q13" t="s">
        <v>165</v>
      </c>
      <c r="R13" t="s">
        <v>75</v>
      </c>
      <c r="S13" t="s">
        <v>166</v>
      </c>
      <c r="T13" t="s">
        <v>67</v>
      </c>
      <c r="U13" t="s">
        <v>77</v>
      </c>
      <c r="V13" t="s">
        <v>85</v>
      </c>
      <c r="W13" t="s">
        <v>79</v>
      </c>
      <c r="X13" t="s">
        <v>85</v>
      </c>
      <c r="Y13">
        <v>5</v>
      </c>
      <c r="Z13">
        <v>4</v>
      </c>
      <c r="AA13">
        <v>3</v>
      </c>
      <c r="AB13">
        <v>2</v>
      </c>
      <c r="AC13">
        <v>4</v>
      </c>
      <c r="AD13">
        <v>3</v>
      </c>
      <c r="AE13">
        <v>1</v>
      </c>
      <c r="AF13">
        <v>5</v>
      </c>
      <c r="AG13">
        <v>4</v>
      </c>
      <c r="AH13">
        <v>3</v>
      </c>
      <c r="AI13">
        <v>5</v>
      </c>
      <c r="AJ13">
        <v>5</v>
      </c>
      <c r="AK13">
        <v>5</v>
      </c>
      <c r="AL13">
        <v>5</v>
      </c>
      <c r="AM13">
        <v>5</v>
      </c>
      <c r="AN13">
        <v>5</v>
      </c>
      <c r="AO13">
        <v>5</v>
      </c>
      <c r="AP13">
        <v>5</v>
      </c>
      <c r="AQ13">
        <v>5</v>
      </c>
      <c r="AR13">
        <v>5</v>
      </c>
      <c r="AS13">
        <v>5</v>
      </c>
      <c r="AT13">
        <v>5</v>
      </c>
      <c r="AU13">
        <v>5</v>
      </c>
      <c r="AV13">
        <v>5</v>
      </c>
      <c r="AW13" t="s">
        <v>167</v>
      </c>
      <c r="AX13" t="s">
        <v>168</v>
      </c>
      <c r="AY13" t="s">
        <v>169</v>
      </c>
      <c r="AZ13" t="s">
        <v>170</v>
      </c>
    </row>
    <row r="14" spans="1:52" x14ac:dyDescent="0.35">
      <c r="A14">
        <f>IF(E14='Bộ lọc Cựu SV'!$C$5, MAX($A$1:A13)+1, "")</f>
        <v>9</v>
      </c>
      <c r="B14" s="1">
        <v>46104.787451828714</v>
      </c>
      <c r="C14" t="s">
        <v>171</v>
      </c>
      <c r="D14" t="s">
        <v>53</v>
      </c>
      <c r="E14" t="s">
        <v>87</v>
      </c>
      <c r="F14" t="s">
        <v>172</v>
      </c>
      <c r="G14" t="s">
        <v>173</v>
      </c>
      <c r="H14" t="s">
        <v>173</v>
      </c>
      <c r="I14" t="s">
        <v>174</v>
      </c>
      <c r="J14" t="s">
        <v>175</v>
      </c>
      <c r="K14" t="s">
        <v>60</v>
      </c>
      <c r="L14" t="s">
        <v>176</v>
      </c>
      <c r="M14" t="s">
        <v>61</v>
      </c>
      <c r="N14" t="s">
        <v>177</v>
      </c>
      <c r="O14" t="s">
        <v>178</v>
      </c>
      <c r="P14" t="s">
        <v>130</v>
      </c>
      <c r="Q14" t="s">
        <v>65</v>
      </c>
      <c r="R14" t="s">
        <v>66</v>
      </c>
      <c r="S14" t="s">
        <v>179</v>
      </c>
      <c r="T14" t="s">
        <v>67</v>
      </c>
      <c r="U14" t="s">
        <v>77</v>
      </c>
      <c r="V14" t="s">
        <v>68</v>
      </c>
      <c r="W14" t="s">
        <v>79</v>
      </c>
      <c r="X14" t="s">
        <v>79</v>
      </c>
      <c r="Y14">
        <v>4</v>
      </c>
      <c r="Z14">
        <v>4</v>
      </c>
      <c r="AA14">
        <v>4</v>
      </c>
      <c r="AB14">
        <v>3</v>
      </c>
      <c r="AC14">
        <v>4</v>
      </c>
      <c r="AD14">
        <v>3</v>
      </c>
      <c r="AE14">
        <v>4</v>
      </c>
      <c r="AF14">
        <v>3</v>
      </c>
      <c r="AG14">
        <v>3</v>
      </c>
      <c r="AH14">
        <v>4</v>
      </c>
      <c r="AI14">
        <v>3</v>
      </c>
      <c r="AJ14">
        <v>3</v>
      </c>
      <c r="AK14">
        <v>4</v>
      </c>
      <c r="AL14">
        <v>3</v>
      </c>
      <c r="AM14">
        <v>4</v>
      </c>
      <c r="AN14">
        <v>3</v>
      </c>
      <c r="AO14">
        <v>3</v>
      </c>
      <c r="AP14">
        <v>3</v>
      </c>
      <c r="AQ14">
        <v>4</v>
      </c>
      <c r="AR14">
        <v>3</v>
      </c>
      <c r="AS14">
        <v>4</v>
      </c>
      <c r="AT14">
        <v>3</v>
      </c>
      <c r="AU14">
        <v>4</v>
      </c>
      <c r="AV14">
        <v>4</v>
      </c>
    </row>
    <row r="15" spans="1:52" x14ac:dyDescent="0.35">
      <c r="A15">
        <f>IF(E15='Bộ lọc Cựu SV'!$C$5, MAX($A$1:A14)+1, "")</f>
        <v>10</v>
      </c>
      <c r="B15" s="1">
        <v>46104.808648368053</v>
      </c>
      <c r="C15" t="s">
        <v>180</v>
      </c>
      <c r="D15" t="s">
        <v>53</v>
      </c>
      <c r="E15" t="s">
        <v>87</v>
      </c>
      <c r="F15">
        <v>2019</v>
      </c>
      <c r="G15" t="s">
        <v>181</v>
      </c>
      <c r="H15" t="s">
        <v>182</v>
      </c>
      <c r="I15" t="s">
        <v>183</v>
      </c>
      <c r="J15" t="s">
        <v>184</v>
      </c>
      <c r="K15" t="s">
        <v>60</v>
      </c>
      <c r="M15" t="s">
        <v>61</v>
      </c>
      <c r="N15" t="s">
        <v>62</v>
      </c>
      <c r="O15" t="s">
        <v>129</v>
      </c>
      <c r="P15" t="s">
        <v>84</v>
      </c>
      <c r="Q15" t="s">
        <v>101</v>
      </c>
      <c r="R15" t="s">
        <v>185</v>
      </c>
      <c r="S15" t="s">
        <v>186</v>
      </c>
      <c r="T15" t="s">
        <v>77</v>
      </c>
      <c r="U15" t="s">
        <v>78</v>
      </c>
      <c r="V15" t="s">
        <v>85</v>
      </c>
      <c r="W15" t="s">
        <v>79</v>
      </c>
      <c r="X15" t="s">
        <v>85</v>
      </c>
    </row>
    <row r="16" spans="1:52" x14ac:dyDescent="0.35">
      <c r="A16">
        <f>IF(E16='Bộ lọc Cựu SV'!$C$5, MAX($A$1:A15)+1, "")</f>
        <v>11</v>
      </c>
      <c r="B16" s="1">
        <v>46104.82051070602</v>
      </c>
      <c r="C16" t="s">
        <v>187</v>
      </c>
      <c r="D16" t="s">
        <v>53</v>
      </c>
      <c r="E16" t="s">
        <v>87</v>
      </c>
      <c r="F16" t="s">
        <v>188</v>
      </c>
      <c r="G16" t="s">
        <v>189</v>
      </c>
      <c r="H16" t="s">
        <v>190</v>
      </c>
      <c r="I16" t="s">
        <v>191</v>
      </c>
      <c r="J16" t="s">
        <v>192</v>
      </c>
      <c r="K16" t="s">
        <v>60</v>
      </c>
      <c r="M16" t="s">
        <v>61</v>
      </c>
      <c r="N16" t="s">
        <v>62</v>
      </c>
      <c r="O16" t="s">
        <v>129</v>
      </c>
      <c r="P16" t="s">
        <v>193</v>
      </c>
      <c r="Q16" t="s">
        <v>65</v>
      </c>
      <c r="R16" t="s">
        <v>66</v>
      </c>
      <c r="T16" t="s">
        <v>67</v>
      </c>
      <c r="U16" t="s">
        <v>67</v>
      </c>
      <c r="V16" t="s">
        <v>79</v>
      </c>
      <c r="W16" t="s">
        <v>68</v>
      </c>
      <c r="X16" t="s">
        <v>68</v>
      </c>
      <c r="Y16">
        <v>5</v>
      </c>
      <c r="Z16">
        <v>4</v>
      </c>
      <c r="AA16">
        <v>5</v>
      </c>
      <c r="AB16">
        <v>5</v>
      </c>
      <c r="AC16">
        <v>4</v>
      </c>
      <c r="AD16">
        <v>5</v>
      </c>
      <c r="AE16">
        <v>5</v>
      </c>
      <c r="AF16">
        <v>5</v>
      </c>
      <c r="AG16">
        <v>5</v>
      </c>
      <c r="AH16">
        <v>5</v>
      </c>
      <c r="AI16">
        <v>4</v>
      </c>
      <c r="AJ16">
        <v>3</v>
      </c>
      <c r="AK16">
        <v>5</v>
      </c>
      <c r="AL16">
        <v>4</v>
      </c>
      <c r="AM16">
        <v>5</v>
      </c>
      <c r="AN16">
        <v>5</v>
      </c>
      <c r="AO16">
        <v>4</v>
      </c>
      <c r="AP16">
        <v>5</v>
      </c>
      <c r="AQ16">
        <v>5</v>
      </c>
      <c r="AR16">
        <v>5</v>
      </c>
      <c r="AS16">
        <v>5</v>
      </c>
      <c r="AT16">
        <v>5</v>
      </c>
      <c r="AU16">
        <v>4</v>
      </c>
      <c r="AV16">
        <v>3</v>
      </c>
      <c r="AX16" t="s">
        <v>139</v>
      </c>
      <c r="AY16" t="s">
        <v>194</v>
      </c>
      <c r="AZ16" t="s">
        <v>195</v>
      </c>
    </row>
    <row r="17" spans="1:52" x14ac:dyDescent="0.35">
      <c r="A17" t="str">
        <f>IF(E17='Bộ lọc Cựu SV'!$C$5, MAX($A$1:A16)+1, "")</f>
        <v/>
      </c>
      <c r="B17" s="1">
        <v>46105.626135740742</v>
      </c>
      <c r="C17" t="s">
        <v>196</v>
      </c>
      <c r="D17" t="s">
        <v>53</v>
      </c>
      <c r="E17" t="s">
        <v>81</v>
      </c>
      <c r="F17" t="s">
        <v>197</v>
      </c>
      <c r="H17" t="s">
        <v>198</v>
      </c>
      <c r="I17" t="s">
        <v>199</v>
      </c>
      <c r="J17" t="s">
        <v>200</v>
      </c>
      <c r="K17" t="s">
        <v>60</v>
      </c>
      <c r="M17" t="s">
        <v>61</v>
      </c>
      <c r="N17" t="s">
        <v>100</v>
      </c>
      <c r="O17" t="s">
        <v>90</v>
      </c>
      <c r="P17" t="s">
        <v>193</v>
      </c>
      <c r="Q17" t="s">
        <v>101</v>
      </c>
      <c r="R17" t="s">
        <v>66</v>
      </c>
      <c r="T17" t="s">
        <v>77</v>
      </c>
      <c r="U17" t="s">
        <v>77</v>
      </c>
      <c r="V17" t="s">
        <v>85</v>
      </c>
      <c r="W17" t="s">
        <v>79</v>
      </c>
      <c r="X17" t="s">
        <v>79</v>
      </c>
      <c r="Y17">
        <v>3</v>
      </c>
      <c r="Z17">
        <v>2</v>
      </c>
      <c r="AA17">
        <v>5</v>
      </c>
      <c r="AB17">
        <v>4</v>
      </c>
      <c r="AC17">
        <v>3</v>
      </c>
      <c r="AD17">
        <v>3</v>
      </c>
      <c r="AE17">
        <v>2</v>
      </c>
      <c r="AF17">
        <v>4</v>
      </c>
      <c r="AG17">
        <v>3</v>
      </c>
      <c r="AH17">
        <v>4</v>
      </c>
      <c r="AI17">
        <v>5</v>
      </c>
      <c r="AJ17">
        <v>3</v>
      </c>
      <c r="AK17">
        <v>5</v>
      </c>
      <c r="AL17">
        <v>5</v>
      </c>
      <c r="AM17">
        <v>5</v>
      </c>
      <c r="AN17">
        <v>5</v>
      </c>
      <c r="AO17">
        <v>4</v>
      </c>
      <c r="AP17">
        <v>4</v>
      </c>
      <c r="AQ17">
        <v>4</v>
      </c>
      <c r="AR17">
        <v>4</v>
      </c>
      <c r="AS17">
        <v>4</v>
      </c>
      <c r="AT17">
        <v>4</v>
      </c>
      <c r="AU17">
        <v>4</v>
      </c>
      <c r="AV17">
        <v>3</v>
      </c>
      <c r="AY17" t="s">
        <v>201</v>
      </c>
    </row>
    <row r="18" spans="1:52" x14ac:dyDescent="0.35">
      <c r="A18" t="str">
        <f>IF(E18='Bộ lọc Cựu SV'!$C$5, MAX($A$1:A17)+1, "")</f>
        <v/>
      </c>
      <c r="B18" s="1">
        <v>46105.637961666667</v>
      </c>
      <c r="C18" t="s">
        <v>202</v>
      </c>
      <c r="D18" t="s">
        <v>53</v>
      </c>
      <c r="E18" t="s">
        <v>203</v>
      </c>
      <c r="F18" t="s">
        <v>204</v>
      </c>
      <c r="G18" t="s">
        <v>205</v>
      </c>
      <c r="H18" t="s">
        <v>206</v>
      </c>
      <c r="I18" t="s">
        <v>207</v>
      </c>
      <c r="J18" t="s">
        <v>208</v>
      </c>
      <c r="K18" t="s">
        <v>60</v>
      </c>
      <c r="M18" t="s">
        <v>61</v>
      </c>
      <c r="N18" t="s">
        <v>100</v>
      </c>
      <c r="O18" t="s">
        <v>178</v>
      </c>
      <c r="P18" t="s">
        <v>130</v>
      </c>
      <c r="Q18" t="s">
        <v>74</v>
      </c>
      <c r="R18" t="s">
        <v>75</v>
      </c>
      <c r="T18" t="s">
        <v>78</v>
      </c>
      <c r="U18" t="s">
        <v>78</v>
      </c>
      <c r="V18" t="s">
        <v>85</v>
      </c>
      <c r="W18" t="s">
        <v>79</v>
      </c>
      <c r="X18" t="s">
        <v>79</v>
      </c>
      <c r="Y18">
        <v>4</v>
      </c>
      <c r="Z18">
        <v>4</v>
      </c>
      <c r="AA18">
        <v>4</v>
      </c>
      <c r="AB18">
        <v>3</v>
      </c>
      <c r="AC18">
        <v>3</v>
      </c>
      <c r="AD18">
        <v>5</v>
      </c>
      <c r="AE18">
        <v>3</v>
      </c>
      <c r="AF18">
        <v>4</v>
      </c>
      <c r="AG18">
        <v>3</v>
      </c>
      <c r="AH18">
        <v>4</v>
      </c>
      <c r="AI18">
        <v>5</v>
      </c>
      <c r="AJ18">
        <v>5</v>
      </c>
      <c r="AK18">
        <v>4</v>
      </c>
      <c r="AL18">
        <v>4</v>
      </c>
      <c r="AM18">
        <v>4</v>
      </c>
      <c r="AN18">
        <v>4</v>
      </c>
      <c r="AO18">
        <v>4</v>
      </c>
      <c r="AP18">
        <v>4</v>
      </c>
      <c r="AQ18">
        <v>4</v>
      </c>
      <c r="AR18">
        <v>5</v>
      </c>
      <c r="AS18">
        <v>5</v>
      </c>
      <c r="AT18">
        <v>5</v>
      </c>
      <c r="AU18">
        <v>5</v>
      </c>
      <c r="AV18">
        <v>5</v>
      </c>
    </row>
    <row r="19" spans="1:52" x14ac:dyDescent="0.35">
      <c r="A19" t="str">
        <f>IF(E19='Bộ lọc Cựu SV'!$C$5, MAX($A$1:A18)+1, "")</f>
        <v/>
      </c>
      <c r="B19" s="1">
        <v>46105.702991412043</v>
      </c>
      <c r="C19" t="s">
        <v>209</v>
      </c>
      <c r="D19" t="s">
        <v>53</v>
      </c>
      <c r="E19" t="s">
        <v>203</v>
      </c>
      <c r="F19">
        <v>2021</v>
      </c>
      <c r="G19" t="s">
        <v>210</v>
      </c>
      <c r="H19" t="s">
        <v>211</v>
      </c>
      <c r="I19" t="s">
        <v>212</v>
      </c>
      <c r="J19" t="s">
        <v>213</v>
      </c>
      <c r="K19" t="s">
        <v>214</v>
      </c>
      <c r="L19" t="s">
        <v>72</v>
      </c>
      <c r="M19" t="s">
        <v>61</v>
      </c>
      <c r="N19" t="s">
        <v>62</v>
      </c>
      <c r="O19" t="s">
        <v>129</v>
      </c>
      <c r="P19" t="s">
        <v>130</v>
      </c>
      <c r="Q19" t="s">
        <v>101</v>
      </c>
      <c r="R19" t="s">
        <v>75</v>
      </c>
      <c r="S19" t="s">
        <v>102</v>
      </c>
      <c r="T19" t="s">
        <v>67</v>
      </c>
      <c r="U19" t="s">
        <v>67</v>
      </c>
      <c r="V19" t="s">
        <v>68</v>
      </c>
      <c r="W19" t="s">
        <v>68</v>
      </c>
      <c r="X19" t="s">
        <v>68</v>
      </c>
      <c r="Y19">
        <v>3</v>
      </c>
      <c r="Z19">
        <v>3</v>
      </c>
      <c r="AA19">
        <v>3</v>
      </c>
      <c r="AB19">
        <v>3</v>
      </c>
      <c r="AC19">
        <v>3</v>
      </c>
      <c r="AD19">
        <v>3</v>
      </c>
      <c r="AE19">
        <v>3</v>
      </c>
      <c r="AF19">
        <v>3</v>
      </c>
      <c r="AG19">
        <v>3</v>
      </c>
      <c r="AH19">
        <v>3</v>
      </c>
      <c r="AI19">
        <v>3</v>
      </c>
      <c r="AJ19">
        <v>3</v>
      </c>
      <c r="AK19">
        <v>3</v>
      </c>
      <c r="AL19">
        <v>3</v>
      </c>
      <c r="AM19">
        <v>3</v>
      </c>
      <c r="AN19">
        <v>3</v>
      </c>
      <c r="AO19">
        <v>3</v>
      </c>
      <c r="AP19">
        <v>3</v>
      </c>
      <c r="AQ19">
        <v>3</v>
      </c>
      <c r="AR19">
        <v>3</v>
      </c>
      <c r="AS19">
        <v>3</v>
      </c>
      <c r="AT19">
        <v>3</v>
      </c>
      <c r="AU19">
        <v>3</v>
      </c>
      <c r="AV19">
        <v>3</v>
      </c>
      <c r="AW19" t="s">
        <v>215</v>
      </c>
      <c r="AX19" t="s">
        <v>216</v>
      </c>
      <c r="AY19" t="s">
        <v>217</v>
      </c>
      <c r="AZ19" t="s">
        <v>218</v>
      </c>
    </row>
    <row r="20" spans="1:52" x14ac:dyDescent="0.35">
      <c r="A20" t="str">
        <f>IF(E20='Bộ lọc Cựu SV'!$C$5, MAX($A$1:A19)+1, "")</f>
        <v/>
      </c>
      <c r="B20" s="1">
        <v>46105.713306041667</v>
      </c>
      <c r="D20" t="s">
        <v>53</v>
      </c>
      <c r="E20" t="s">
        <v>203</v>
      </c>
      <c r="F20" t="s">
        <v>197</v>
      </c>
      <c r="G20" t="s">
        <v>219</v>
      </c>
      <c r="H20" t="s">
        <v>220</v>
      </c>
      <c r="I20" t="s">
        <v>221</v>
      </c>
      <c r="J20" t="s">
        <v>222</v>
      </c>
      <c r="K20" t="s">
        <v>60</v>
      </c>
      <c r="M20" t="s">
        <v>61</v>
      </c>
      <c r="N20" t="s">
        <v>100</v>
      </c>
      <c r="O20" t="s">
        <v>129</v>
      </c>
      <c r="P20" t="s">
        <v>130</v>
      </c>
      <c r="Q20" t="s">
        <v>74</v>
      </c>
      <c r="R20" t="s">
        <v>66</v>
      </c>
      <c r="T20" t="s">
        <v>77</v>
      </c>
      <c r="U20" t="s">
        <v>77</v>
      </c>
      <c r="V20" t="s">
        <v>79</v>
      </c>
      <c r="W20" t="s">
        <v>79</v>
      </c>
      <c r="X20" t="s">
        <v>79</v>
      </c>
      <c r="Y20">
        <v>5</v>
      </c>
      <c r="Z20">
        <v>4</v>
      </c>
      <c r="AA20">
        <v>4</v>
      </c>
      <c r="AB20">
        <v>4</v>
      </c>
      <c r="AC20">
        <v>2</v>
      </c>
      <c r="AD20">
        <v>4</v>
      </c>
      <c r="AE20">
        <v>4</v>
      </c>
      <c r="AF20">
        <v>5</v>
      </c>
      <c r="AG20">
        <v>2</v>
      </c>
      <c r="AH20">
        <v>4</v>
      </c>
      <c r="AI20">
        <v>4</v>
      </c>
      <c r="AJ20">
        <v>4</v>
      </c>
      <c r="AK20">
        <v>5</v>
      </c>
      <c r="AL20">
        <v>5</v>
      </c>
      <c r="AM20">
        <v>5</v>
      </c>
      <c r="AW20" t="s">
        <v>223</v>
      </c>
    </row>
    <row r="21" spans="1:52" x14ac:dyDescent="0.35">
      <c r="A21" t="str">
        <f>IF(E21='Bộ lọc Cựu SV'!$C$5, MAX($A$1:A20)+1, "")</f>
        <v/>
      </c>
      <c r="B21" s="1">
        <v>46105.824867916657</v>
      </c>
      <c r="C21" t="s">
        <v>224</v>
      </c>
      <c r="D21" t="s">
        <v>53</v>
      </c>
      <c r="E21" t="s">
        <v>203</v>
      </c>
      <c r="F21">
        <v>2021</v>
      </c>
      <c r="G21" t="s">
        <v>225</v>
      </c>
      <c r="H21" t="s">
        <v>225</v>
      </c>
      <c r="I21" t="s">
        <v>226</v>
      </c>
      <c r="J21" t="s">
        <v>227</v>
      </c>
      <c r="K21" t="s">
        <v>60</v>
      </c>
      <c r="M21" t="s">
        <v>61</v>
      </c>
      <c r="N21" t="s">
        <v>100</v>
      </c>
      <c r="O21" t="s">
        <v>90</v>
      </c>
      <c r="P21" t="s">
        <v>130</v>
      </c>
      <c r="Q21" t="s">
        <v>101</v>
      </c>
      <c r="R21" t="s">
        <v>66</v>
      </c>
      <c r="T21" t="s">
        <v>67</v>
      </c>
      <c r="U21" t="s">
        <v>67</v>
      </c>
      <c r="V21" t="s">
        <v>85</v>
      </c>
      <c r="W21" t="s">
        <v>68</v>
      </c>
      <c r="X21" t="s">
        <v>68</v>
      </c>
      <c r="Y21">
        <v>5</v>
      </c>
      <c r="Z21">
        <v>5</v>
      </c>
      <c r="AA21">
        <v>5</v>
      </c>
      <c r="AB21">
        <v>5</v>
      </c>
      <c r="AC21">
        <v>5</v>
      </c>
      <c r="AD21">
        <v>5</v>
      </c>
      <c r="AE21">
        <v>5</v>
      </c>
      <c r="AF21">
        <v>5</v>
      </c>
      <c r="AG21">
        <v>5</v>
      </c>
      <c r="AH21">
        <v>5</v>
      </c>
      <c r="AI21">
        <v>5</v>
      </c>
      <c r="AJ21">
        <v>5</v>
      </c>
      <c r="AK21">
        <v>5</v>
      </c>
      <c r="AL21">
        <v>5</v>
      </c>
      <c r="AM21">
        <v>5</v>
      </c>
      <c r="AN21">
        <v>5</v>
      </c>
      <c r="AO21">
        <v>5</v>
      </c>
      <c r="AP21">
        <v>5</v>
      </c>
      <c r="AQ21">
        <v>5</v>
      </c>
      <c r="AR21">
        <v>5</v>
      </c>
      <c r="AS21">
        <v>5</v>
      </c>
      <c r="AT21">
        <v>5</v>
      </c>
      <c r="AU21">
        <v>5</v>
      </c>
      <c r="AV21">
        <v>5</v>
      </c>
      <c r="AW21" t="s">
        <v>228</v>
      </c>
      <c r="AX21" t="s">
        <v>229</v>
      </c>
      <c r="AY21" t="s">
        <v>230</v>
      </c>
      <c r="AZ21" t="s">
        <v>231</v>
      </c>
    </row>
    <row r="22" spans="1:52" x14ac:dyDescent="0.35">
      <c r="A22">
        <f>IF(E22='Bộ lọc Cựu SV'!$C$5, MAX($A$1:A21)+1, "")</f>
        <v>12</v>
      </c>
      <c r="B22" s="1">
        <v>46106.381569097219</v>
      </c>
      <c r="C22" t="s">
        <v>232</v>
      </c>
      <c r="D22" t="s">
        <v>53</v>
      </c>
      <c r="E22" t="s">
        <v>87</v>
      </c>
      <c r="F22" t="s">
        <v>233</v>
      </c>
      <c r="G22" t="s">
        <v>234</v>
      </c>
      <c r="H22" t="s">
        <v>235</v>
      </c>
      <c r="I22" t="s">
        <v>236</v>
      </c>
      <c r="J22" t="s">
        <v>237</v>
      </c>
      <c r="K22" t="s">
        <v>60</v>
      </c>
      <c r="M22" t="s">
        <v>61</v>
      </c>
      <c r="N22" t="s">
        <v>100</v>
      </c>
      <c r="O22" t="s">
        <v>90</v>
      </c>
      <c r="P22" t="s">
        <v>193</v>
      </c>
      <c r="Q22" t="s">
        <v>101</v>
      </c>
      <c r="R22" t="s">
        <v>66</v>
      </c>
      <c r="S22" t="s">
        <v>102</v>
      </c>
      <c r="T22" t="s">
        <v>77</v>
      </c>
      <c r="U22" t="s">
        <v>78</v>
      </c>
      <c r="V22" t="s">
        <v>85</v>
      </c>
      <c r="W22" t="s">
        <v>79</v>
      </c>
      <c r="X22" t="s">
        <v>79</v>
      </c>
      <c r="Y22">
        <v>3</v>
      </c>
      <c r="Z22">
        <v>3</v>
      </c>
      <c r="AA22">
        <v>4</v>
      </c>
      <c r="AB22">
        <v>4</v>
      </c>
      <c r="AC22">
        <v>4</v>
      </c>
      <c r="AD22">
        <v>4</v>
      </c>
      <c r="AE22">
        <v>4</v>
      </c>
      <c r="AF22">
        <v>4</v>
      </c>
      <c r="AG22">
        <v>4</v>
      </c>
      <c r="AH22">
        <v>4</v>
      </c>
      <c r="AI22">
        <v>4</v>
      </c>
      <c r="AJ22">
        <v>4</v>
      </c>
      <c r="AK22">
        <v>2</v>
      </c>
      <c r="AL22">
        <v>3</v>
      </c>
      <c r="AM22">
        <v>5</v>
      </c>
      <c r="AN22">
        <v>5</v>
      </c>
      <c r="AO22">
        <v>5</v>
      </c>
      <c r="AP22">
        <v>5</v>
      </c>
      <c r="AQ22">
        <v>5</v>
      </c>
      <c r="AR22">
        <v>5</v>
      </c>
      <c r="AS22">
        <v>5</v>
      </c>
      <c r="AT22">
        <v>5</v>
      </c>
      <c r="AU22">
        <v>5</v>
      </c>
      <c r="AV22">
        <v>5</v>
      </c>
      <c r="AW22" t="s">
        <v>139</v>
      </c>
    </row>
    <row r="23" spans="1:52" x14ac:dyDescent="0.35">
      <c r="A23" t="str">
        <f>IF(E23='Bộ lọc Cựu SV'!$C$5, MAX($A$1:A22)+1, "")</f>
        <v/>
      </c>
      <c r="B23" s="1">
        <v>46107.834518495372</v>
      </c>
      <c r="C23" t="s">
        <v>238</v>
      </c>
      <c r="D23" t="s">
        <v>53</v>
      </c>
      <c r="E23" t="s">
        <v>239</v>
      </c>
      <c r="F23" t="s">
        <v>240</v>
      </c>
      <c r="G23" t="s">
        <v>241</v>
      </c>
      <c r="H23" t="s">
        <v>242</v>
      </c>
      <c r="I23" t="s">
        <v>243</v>
      </c>
      <c r="J23" t="s">
        <v>244</v>
      </c>
      <c r="K23" t="s">
        <v>60</v>
      </c>
      <c r="M23" t="s">
        <v>61</v>
      </c>
      <c r="N23" t="s">
        <v>62</v>
      </c>
      <c r="O23" t="s">
        <v>90</v>
      </c>
      <c r="P23" t="s">
        <v>193</v>
      </c>
      <c r="Q23" t="s">
        <v>101</v>
      </c>
      <c r="R23" t="s">
        <v>75</v>
      </c>
      <c r="S23" t="s">
        <v>179</v>
      </c>
      <c r="T23" t="s">
        <v>245</v>
      </c>
      <c r="U23" t="s">
        <v>245</v>
      </c>
      <c r="V23" t="s">
        <v>68</v>
      </c>
      <c r="W23" t="s">
        <v>68</v>
      </c>
      <c r="X23" t="s">
        <v>79</v>
      </c>
      <c r="Y23">
        <v>3</v>
      </c>
      <c r="Z23">
        <v>5</v>
      </c>
      <c r="AA23">
        <v>2</v>
      </c>
      <c r="AB23">
        <v>2</v>
      </c>
      <c r="AC23">
        <v>3</v>
      </c>
      <c r="AD23">
        <v>4</v>
      </c>
      <c r="AE23">
        <v>2</v>
      </c>
      <c r="AF23">
        <v>4</v>
      </c>
      <c r="AG23">
        <v>1</v>
      </c>
      <c r="AI23">
        <v>5</v>
      </c>
      <c r="AJ23">
        <v>5</v>
      </c>
      <c r="AK23">
        <v>3</v>
      </c>
      <c r="AL23">
        <v>3</v>
      </c>
      <c r="AM23">
        <v>3</v>
      </c>
      <c r="AN23">
        <v>2</v>
      </c>
      <c r="AO23">
        <v>2</v>
      </c>
      <c r="AP23">
        <v>2</v>
      </c>
      <c r="AQ23">
        <v>3</v>
      </c>
      <c r="AR23">
        <v>2</v>
      </c>
      <c r="AS23">
        <v>2</v>
      </c>
      <c r="AT23">
        <v>3</v>
      </c>
      <c r="AU23">
        <v>3</v>
      </c>
      <c r="AV23">
        <v>3</v>
      </c>
      <c r="AY23" t="s">
        <v>246</v>
      </c>
      <c r="AZ23" t="s">
        <v>247</v>
      </c>
    </row>
    <row r="24" spans="1:52" x14ac:dyDescent="0.35">
      <c r="A24" t="str">
        <f>IF(E24='Bộ lọc Cựu SV'!$C$5, MAX($A$1:A23)+1, "")</f>
        <v/>
      </c>
      <c r="B24" s="1">
        <v>46107.835998958333</v>
      </c>
      <c r="C24" t="s">
        <v>248</v>
      </c>
      <c r="D24" t="s">
        <v>53</v>
      </c>
      <c r="E24" t="s">
        <v>239</v>
      </c>
      <c r="F24" t="s">
        <v>240</v>
      </c>
      <c r="J24" t="s">
        <v>249</v>
      </c>
      <c r="K24" t="s">
        <v>60</v>
      </c>
      <c r="N24" t="s">
        <v>62</v>
      </c>
      <c r="O24" t="s">
        <v>250</v>
      </c>
      <c r="P24" t="s">
        <v>251</v>
      </c>
      <c r="Q24" t="s">
        <v>74</v>
      </c>
      <c r="R24" t="s">
        <v>185</v>
      </c>
      <c r="S24" t="s">
        <v>252</v>
      </c>
      <c r="T24" t="s">
        <v>77</v>
      </c>
      <c r="U24" t="s">
        <v>77</v>
      </c>
      <c r="V24" t="s">
        <v>68</v>
      </c>
      <c r="W24" t="s">
        <v>85</v>
      </c>
      <c r="X24" t="s">
        <v>253</v>
      </c>
      <c r="Y24">
        <v>3</v>
      </c>
      <c r="Z24">
        <v>3</v>
      </c>
      <c r="AA24">
        <v>3</v>
      </c>
      <c r="AB24">
        <v>3</v>
      </c>
      <c r="AC24">
        <v>3</v>
      </c>
      <c r="AD24">
        <v>3</v>
      </c>
      <c r="AE24">
        <v>2</v>
      </c>
      <c r="AF24">
        <v>3</v>
      </c>
      <c r="AG24">
        <v>3</v>
      </c>
      <c r="AH24">
        <v>2</v>
      </c>
      <c r="AI24">
        <v>4</v>
      </c>
      <c r="AJ24">
        <v>4</v>
      </c>
      <c r="AK24">
        <v>3</v>
      </c>
      <c r="AL24">
        <v>4</v>
      </c>
      <c r="AM24">
        <v>4</v>
      </c>
      <c r="AN24">
        <v>3</v>
      </c>
      <c r="AO24">
        <v>4</v>
      </c>
      <c r="AP24">
        <v>4</v>
      </c>
      <c r="AQ24">
        <v>5</v>
      </c>
      <c r="AR24">
        <v>5</v>
      </c>
      <c r="AS24">
        <v>5</v>
      </c>
      <c r="AT24">
        <v>5</v>
      </c>
      <c r="AU24">
        <v>5</v>
      </c>
      <c r="AV24">
        <v>5</v>
      </c>
      <c r="AX24" t="s">
        <v>254</v>
      </c>
      <c r="AY24" t="s">
        <v>255</v>
      </c>
    </row>
    <row r="25" spans="1:52" x14ac:dyDescent="0.35">
      <c r="A25" t="str">
        <f>IF(E25='Bộ lọc Cựu SV'!$C$5, MAX($A$1:A24)+1, "")</f>
        <v/>
      </c>
      <c r="B25" s="1">
        <v>46107.836203125</v>
      </c>
      <c r="C25" t="s">
        <v>256</v>
      </c>
      <c r="D25" t="s">
        <v>53</v>
      </c>
      <c r="E25" t="s">
        <v>239</v>
      </c>
      <c r="F25">
        <v>45</v>
      </c>
      <c r="H25" t="s">
        <v>257</v>
      </c>
      <c r="I25" t="s">
        <v>258</v>
      </c>
      <c r="J25" t="s">
        <v>259</v>
      </c>
      <c r="K25" t="s">
        <v>60</v>
      </c>
      <c r="M25" t="s">
        <v>61</v>
      </c>
      <c r="N25" t="s">
        <v>260</v>
      </c>
      <c r="O25" t="s">
        <v>90</v>
      </c>
      <c r="P25" t="s">
        <v>73</v>
      </c>
      <c r="Q25" t="s">
        <v>65</v>
      </c>
      <c r="R25" t="s">
        <v>66</v>
      </c>
      <c r="T25" t="s">
        <v>77</v>
      </c>
      <c r="U25" t="s">
        <v>77</v>
      </c>
      <c r="V25" t="s">
        <v>79</v>
      </c>
      <c r="W25" t="s">
        <v>79</v>
      </c>
      <c r="X25" t="s">
        <v>79</v>
      </c>
      <c r="Y25">
        <v>3</v>
      </c>
      <c r="Z25">
        <v>3</v>
      </c>
      <c r="AA25">
        <v>3</v>
      </c>
      <c r="AB25">
        <v>3</v>
      </c>
      <c r="AC25">
        <v>3</v>
      </c>
      <c r="AD25">
        <v>3</v>
      </c>
      <c r="AE25">
        <v>3</v>
      </c>
      <c r="AF25">
        <v>3</v>
      </c>
      <c r="AG25">
        <v>3</v>
      </c>
      <c r="AH25">
        <v>3</v>
      </c>
      <c r="AI25">
        <v>3</v>
      </c>
      <c r="AJ25">
        <v>3</v>
      </c>
      <c r="AK25">
        <v>3</v>
      </c>
      <c r="AL25">
        <v>3</v>
      </c>
      <c r="AM25">
        <v>3</v>
      </c>
      <c r="AN25">
        <v>3</v>
      </c>
      <c r="AO25">
        <v>3</v>
      </c>
      <c r="AP25">
        <v>3</v>
      </c>
      <c r="AQ25">
        <v>3</v>
      </c>
      <c r="AR25">
        <v>3</v>
      </c>
      <c r="AS25">
        <v>3</v>
      </c>
      <c r="AT25">
        <v>3</v>
      </c>
      <c r="AU25">
        <v>3</v>
      </c>
      <c r="AV25">
        <v>3</v>
      </c>
    </row>
    <row r="26" spans="1:52" x14ac:dyDescent="0.35">
      <c r="A26" t="str">
        <f>IF(E26='Bộ lọc Cựu SV'!$C$5, MAX($A$1:A25)+1, "")</f>
        <v/>
      </c>
      <c r="B26" s="1">
        <v>46107.843146145831</v>
      </c>
      <c r="C26" t="s">
        <v>261</v>
      </c>
      <c r="D26" t="s">
        <v>53</v>
      </c>
      <c r="E26" t="s">
        <v>239</v>
      </c>
      <c r="F26">
        <v>2019</v>
      </c>
      <c r="H26" t="s">
        <v>262</v>
      </c>
      <c r="I26" t="s">
        <v>263</v>
      </c>
      <c r="J26" t="s">
        <v>264</v>
      </c>
      <c r="K26" t="s">
        <v>60</v>
      </c>
      <c r="M26" t="s">
        <v>61</v>
      </c>
      <c r="N26" t="s">
        <v>118</v>
      </c>
      <c r="O26" t="s">
        <v>90</v>
      </c>
      <c r="P26" t="s">
        <v>130</v>
      </c>
      <c r="Q26" t="s">
        <v>101</v>
      </c>
      <c r="R26" t="s">
        <v>66</v>
      </c>
      <c r="T26" t="s">
        <v>78</v>
      </c>
      <c r="U26" t="s">
        <v>78</v>
      </c>
      <c r="V26" t="s">
        <v>85</v>
      </c>
      <c r="W26" t="s">
        <v>85</v>
      </c>
      <c r="X26" t="s">
        <v>85</v>
      </c>
      <c r="Y26">
        <v>4</v>
      </c>
      <c r="Z26">
        <v>4</v>
      </c>
      <c r="AA26">
        <v>4</v>
      </c>
      <c r="AB26">
        <v>4</v>
      </c>
      <c r="AC26">
        <v>4</v>
      </c>
      <c r="AD26">
        <v>4</v>
      </c>
      <c r="AE26">
        <v>4</v>
      </c>
      <c r="AF26">
        <v>4</v>
      </c>
      <c r="AG26">
        <v>4</v>
      </c>
      <c r="AH26">
        <v>4</v>
      </c>
      <c r="AI26">
        <v>4</v>
      </c>
      <c r="AJ26">
        <v>4</v>
      </c>
      <c r="AK26">
        <v>3</v>
      </c>
      <c r="AL26">
        <v>3</v>
      </c>
      <c r="AM26">
        <v>3</v>
      </c>
      <c r="AN26">
        <v>3</v>
      </c>
      <c r="AO26">
        <v>3</v>
      </c>
      <c r="AP26">
        <v>3</v>
      </c>
      <c r="AQ26">
        <v>3</v>
      </c>
      <c r="AR26">
        <v>3</v>
      </c>
      <c r="AS26">
        <v>3</v>
      </c>
      <c r="AT26">
        <v>3</v>
      </c>
      <c r="AU26">
        <v>3</v>
      </c>
      <c r="AV26">
        <v>3</v>
      </c>
      <c r="AW26" t="s">
        <v>265</v>
      </c>
    </row>
    <row r="27" spans="1:52" x14ac:dyDescent="0.35">
      <c r="A27" t="str">
        <f>IF(E27='Bộ lọc Cựu SV'!$C$5, MAX($A$1:A26)+1, "")</f>
        <v/>
      </c>
      <c r="B27" s="1">
        <v>46107.849911701393</v>
      </c>
      <c r="C27" t="s">
        <v>266</v>
      </c>
      <c r="D27" t="s">
        <v>53</v>
      </c>
      <c r="E27" t="s">
        <v>239</v>
      </c>
      <c r="F27" t="s">
        <v>267</v>
      </c>
      <c r="H27" t="s">
        <v>268</v>
      </c>
      <c r="I27" t="s">
        <v>269</v>
      </c>
      <c r="J27" t="s">
        <v>270</v>
      </c>
      <c r="K27" t="s">
        <v>60</v>
      </c>
      <c r="M27" t="s">
        <v>271</v>
      </c>
      <c r="N27" t="s">
        <v>62</v>
      </c>
      <c r="O27" t="s">
        <v>90</v>
      </c>
      <c r="P27" t="s">
        <v>91</v>
      </c>
      <c r="Q27" t="s">
        <v>101</v>
      </c>
      <c r="R27" t="s">
        <v>75</v>
      </c>
      <c r="S27" t="s">
        <v>102</v>
      </c>
      <c r="T27" t="s">
        <v>245</v>
      </c>
      <c r="U27" t="s">
        <v>245</v>
      </c>
      <c r="V27" t="s">
        <v>253</v>
      </c>
      <c r="W27" t="s">
        <v>253</v>
      </c>
      <c r="X27" t="s">
        <v>253</v>
      </c>
      <c r="Y27">
        <v>3</v>
      </c>
      <c r="Z27">
        <v>3</v>
      </c>
      <c r="AA27">
        <v>3</v>
      </c>
      <c r="AB27">
        <v>3</v>
      </c>
      <c r="AC27">
        <v>3</v>
      </c>
      <c r="AD27">
        <v>3</v>
      </c>
      <c r="AE27">
        <v>3</v>
      </c>
      <c r="AF27">
        <v>3</v>
      </c>
      <c r="AG27">
        <v>3</v>
      </c>
      <c r="AH27">
        <v>3</v>
      </c>
      <c r="AI27">
        <v>3</v>
      </c>
      <c r="AJ27">
        <v>3</v>
      </c>
      <c r="AK27">
        <v>4</v>
      </c>
      <c r="AL27">
        <v>4</v>
      </c>
      <c r="AM27">
        <v>4</v>
      </c>
      <c r="AN27">
        <v>4</v>
      </c>
      <c r="AO27">
        <v>4</v>
      </c>
      <c r="AP27">
        <v>4</v>
      </c>
      <c r="AQ27">
        <v>4</v>
      </c>
      <c r="AR27">
        <v>4</v>
      </c>
      <c r="AS27">
        <v>4</v>
      </c>
      <c r="AT27">
        <v>4</v>
      </c>
      <c r="AU27">
        <v>4</v>
      </c>
      <c r="AV27">
        <v>4</v>
      </c>
    </row>
    <row r="28" spans="1:52" x14ac:dyDescent="0.35">
      <c r="A28" t="str">
        <f>IF(E28='Bộ lọc Cựu SV'!$C$5, MAX($A$1:A27)+1, "")</f>
        <v/>
      </c>
      <c r="B28" s="1">
        <v>46107.879571226847</v>
      </c>
      <c r="C28" t="s">
        <v>272</v>
      </c>
      <c r="D28" t="s">
        <v>53</v>
      </c>
      <c r="E28" t="s">
        <v>239</v>
      </c>
      <c r="F28">
        <v>2021</v>
      </c>
      <c r="G28" t="s">
        <v>273</v>
      </c>
      <c r="H28" t="s">
        <v>274</v>
      </c>
      <c r="I28" t="s">
        <v>275</v>
      </c>
      <c r="J28" t="s">
        <v>276</v>
      </c>
      <c r="K28" t="s">
        <v>60</v>
      </c>
      <c r="M28" t="s">
        <v>61</v>
      </c>
      <c r="N28" t="s">
        <v>277</v>
      </c>
      <c r="O28" t="s">
        <v>90</v>
      </c>
      <c r="P28" t="s">
        <v>130</v>
      </c>
      <c r="Q28" t="s">
        <v>101</v>
      </c>
      <c r="R28" t="s">
        <v>66</v>
      </c>
      <c r="S28" t="s">
        <v>76</v>
      </c>
      <c r="T28" t="s">
        <v>78</v>
      </c>
      <c r="U28" t="s">
        <v>78</v>
      </c>
      <c r="V28" t="s">
        <v>85</v>
      </c>
      <c r="W28" t="s">
        <v>85</v>
      </c>
      <c r="X28" t="s">
        <v>85</v>
      </c>
      <c r="Y28">
        <v>4</v>
      </c>
      <c r="Z28">
        <v>4</v>
      </c>
      <c r="AA28">
        <v>4</v>
      </c>
      <c r="AB28">
        <v>4</v>
      </c>
      <c r="AC28">
        <v>4</v>
      </c>
      <c r="AD28">
        <v>4</v>
      </c>
      <c r="AE28">
        <v>4</v>
      </c>
      <c r="AF28">
        <v>4</v>
      </c>
      <c r="AG28">
        <v>4</v>
      </c>
      <c r="AH28">
        <v>4</v>
      </c>
      <c r="AI28">
        <v>4</v>
      </c>
      <c r="AJ28">
        <v>4</v>
      </c>
      <c r="AK28">
        <v>4</v>
      </c>
      <c r="AL28">
        <v>4</v>
      </c>
      <c r="AM28">
        <v>4</v>
      </c>
      <c r="AN28">
        <v>4</v>
      </c>
      <c r="AO28">
        <v>4</v>
      </c>
      <c r="AP28">
        <v>4</v>
      </c>
      <c r="AQ28">
        <v>4</v>
      </c>
      <c r="AR28">
        <v>4</v>
      </c>
      <c r="AS28">
        <v>4</v>
      </c>
      <c r="AT28">
        <v>4</v>
      </c>
      <c r="AU28">
        <v>4</v>
      </c>
      <c r="AV28">
        <v>4</v>
      </c>
      <c r="AW28" t="s">
        <v>278</v>
      </c>
      <c r="AX28" t="s">
        <v>279</v>
      </c>
      <c r="AY28" t="s">
        <v>280</v>
      </c>
      <c r="AZ28" t="s">
        <v>281</v>
      </c>
    </row>
    <row r="29" spans="1:52" x14ac:dyDescent="0.35">
      <c r="A29">
        <f>IF(E29='Bộ lọc Cựu SV'!$C$5, MAX($A$1:A28)+1, "")</f>
        <v>13</v>
      </c>
      <c r="B29" s="1">
        <v>46107.914813449082</v>
      </c>
      <c r="C29" t="s">
        <v>282</v>
      </c>
      <c r="D29" t="s">
        <v>53</v>
      </c>
      <c r="E29" t="s">
        <v>87</v>
      </c>
      <c r="F29" t="s">
        <v>233</v>
      </c>
      <c r="G29" t="s">
        <v>283</v>
      </c>
      <c r="H29" t="s">
        <v>284</v>
      </c>
      <c r="I29" t="s">
        <v>285</v>
      </c>
      <c r="J29" t="s">
        <v>286</v>
      </c>
      <c r="K29" t="s">
        <v>60</v>
      </c>
      <c r="M29" t="s">
        <v>61</v>
      </c>
      <c r="N29" t="s">
        <v>100</v>
      </c>
      <c r="O29" t="s">
        <v>90</v>
      </c>
      <c r="P29" t="s">
        <v>193</v>
      </c>
      <c r="Q29" t="s">
        <v>101</v>
      </c>
      <c r="R29" t="s">
        <v>66</v>
      </c>
      <c r="T29" t="s">
        <v>67</v>
      </c>
      <c r="U29" t="s">
        <v>77</v>
      </c>
      <c r="V29" t="s">
        <v>79</v>
      </c>
      <c r="W29" t="s">
        <v>68</v>
      </c>
      <c r="X29" t="s">
        <v>79</v>
      </c>
      <c r="Y29">
        <v>4</v>
      </c>
      <c r="Z29">
        <v>4</v>
      </c>
      <c r="AA29">
        <v>5</v>
      </c>
      <c r="AB29">
        <v>5</v>
      </c>
      <c r="AC29">
        <v>5</v>
      </c>
      <c r="AD29">
        <v>3</v>
      </c>
      <c r="AE29">
        <v>5</v>
      </c>
      <c r="AF29">
        <v>5</v>
      </c>
      <c r="AG29">
        <v>5</v>
      </c>
      <c r="AH29">
        <v>4</v>
      </c>
      <c r="AI29">
        <v>4</v>
      </c>
      <c r="AJ29">
        <v>5</v>
      </c>
      <c r="AK29">
        <v>4</v>
      </c>
      <c r="AL29">
        <v>4</v>
      </c>
      <c r="AM29">
        <v>5</v>
      </c>
      <c r="AN29">
        <v>5</v>
      </c>
      <c r="AO29">
        <v>5</v>
      </c>
      <c r="AP29">
        <v>3</v>
      </c>
      <c r="AQ29">
        <v>5</v>
      </c>
      <c r="AR29">
        <v>5</v>
      </c>
      <c r="AS29">
        <v>5</v>
      </c>
      <c r="AT29">
        <v>4</v>
      </c>
      <c r="AU29">
        <v>4</v>
      </c>
      <c r="AV29">
        <v>5</v>
      </c>
      <c r="AW29" t="s">
        <v>287</v>
      </c>
      <c r="AX29" t="s">
        <v>288</v>
      </c>
      <c r="AY29" t="s">
        <v>289</v>
      </c>
    </row>
    <row r="30" spans="1:52" x14ac:dyDescent="0.35">
      <c r="A30" t="str">
        <f>IF(E30='Bộ lọc Cựu SV'!$C$5, MAX($A$1:A29)+1, "")</f>
        <v/>
      </c>
      <c r="B30" s="1">
        <v>46108.348741458343</v>
      </c>
      <c r="C30" t="s">
        <v>290</v>
      </c>
      <c r="D30" t="s">
        <v>53</v>
      </c>
      <c r="E30" t="s">
        <v>239</v>
      </c>
      <c r="F30" t="s">
        <v>291</v>
      </c>
      <c r="H30" t="s">
        <v>292</v>
      </c>
      <c r="I30" t="s">
        <v>293</v>
      </c>
      <c r="J30" t="s">
        <v>294</v>
      </c>
      <c r="K30" t="s">
        <v>60</v>
      </c>
      <c r="M30" t="s">
        <v>61</v>
      </c>
      <c r="N30" t="s">
        <v>177</v>
      </c>
      <c r="O30" t="s">
        <v>90</v>
      </c>
      <c r="P30" t="s">
        <v>73</v>
      </c>
      <c r="Q30" t="s">
        <v>65</v>
      </c>
      <c r="R30" t="s">
        <v>75</v>
      </c>
      <c r="S30" t="s">
        <v>179</v>
      </c>
      <c r="T30" t="s">
        <v>77</v>
      </c>
      <c r="U30" t="s">
        <v>77</v>
      </c>
      <c r="V30" t="s">
        <v>85</v>
      </c>
      <c r="W30" t="s">
        <v>79</v>
      </c>
      <c r="X30" t="s">
        <v>85</v>
      </c>
      <c r="Y30">
        <v>3</v>
      </c>
      <c r="Z30">
        <v>3</v>
      </c>
      <c r="AA30">
        <v>4</v>
      </c>
      <c r="AB30">
        <v>3</v>
      </c>
      <c r="AC30">
        <v>2</v>
      </c>
      <c r="AD30">
        <v>3</v>
      </c>
      <c r="AE30">
        <v>3</v>
      </c>
      <c r="AF30">
        <v>4</v>
      </c>
      <c r="AG30">
        <v>3</v>
      </c>
      <c r="AH30">
        <v>2</v>
      </c>
      <c r="AI30">
        <v>3</v>
      </c>
      <c r="AJ30">
        <v>4</v>
      </c>
      <c r="AK30">
        <v>3</v>
      </c>
      <c r="AL30">
        <v>3</v>
      </c>
      <c r="AM30">
        <v>4</v>
      </c>
      <c r="AN30">
        <v>3</v>
      </c>
      <c r="AO30">
        <v>3</v>
      </c>
      <c r="AP30">
        <v>4</v>
      </c>
      <c r="AQ30">
        <v>2</v>
      </c>
      <c r="AR30">
        <v>3</v>
      </c>
      <c r="AS30">
        <v>3</v>
      </c>
      <c r="AT30">
        <v>3</v>
      </c>
      <c r="AU30">
        <v>3</v>
      </c>
      <c r="AV30">
        <v>3</v>
      </c>
    </row>
    <row r="31" spans="1:52" x14ac:dyDescent="0.35">
      <c r="A31" t="str">
        <f>IF(E31='Bộ lọc Cựu SV'!$C$5, MAX($A$1:A30)+1, "")</f>
        <v/>
      </c>
      <c r="B31" s="1">
        <v>46108.35075179398</v>
      </c>
      <c r="C31" t="s">
        <v>295</v>
      </c>
      <c r="D31" t="s">
        <v>53</v>
      </c>
      <c r="E31" t="s">
        <v>239</v>
      </c>
      <c r="F31" t="s">
        <v>296</v>
      </c>
      <c r="G31" t="s">
        <v>297</v>
      </c>
      <c r="H31" t="s">
        <v>298</v>
      </c>
      <c r="I31" t="s">
        <v>299</v>
      </c>
      <c r="J31" t="s">
        <v>300</v>
      </c>
      <c r="K31" t="s">
        <v>60</v>
      </c>
      <c r="M31" t="s">
        <v>301</v>
      </c>
      <c r="N31" t="s">
        <v>62</v>
      </c>
      <c r="O31" t="s">
        <v>63</v>
      </c>
      <c r="P31" t="s">
        <v>64</v>
      </c>
      <c r="Q31" t="s">
        <v>101</v>
      </c>
      <c r="R31" t="s">
        <v>66</v>
      </c>
      <c r="S31" t="s">
        <v>179</v>
      </c>
      <c r="T31" t="s">
        <v>67</v>
      </c>
      <c r="U31" t="s">
        <v>77</v>
      </c>
      <c r="V31" t="s">
        <v>79</v>
      </c>
      <c r="W31" t="s">
        <v>79</v>
      </c>
      <c r="X31" t="s">
        <v>79</v>
      </c>
      <c r="Y31">
        <v>4</v>
      </c>
      <c r="Z31">
        <v>4</v>
      </c>
      <c r="AA31">
        <v>4</v>
      </c>
      <c r="AB31">
        <v>4</v>
      </c>
      <c r="AC31">
        <v>3</v>
      </c>
      <c r="AD31">
        <v>4</v>
      </c>
      <c r="AE31">
        <v>4</v>
      </c>
      <c r="AF31">
        <v>4</v>
      </c>
      <c r="AG31">
        <v>4</v>
      </c>
      <c r="AH31">
        <v>4</v>
      </c>
      <c r="AI31">
        <v>4</v>
      </c>
      <c r="AJ31">
        <v>4</v>
      </c>
      <c r="AK31">
        <v>4</v>
      </c>
      <c r="AL31">
        <v>4</v>
      </c>
      <c r="AM31">
        <v>4</v>
      </c>
      <c r="AN31">
        <v>4</v>
      </c>
      <c r="AO31">
        <v>4</v>
      </c>
      <c r="AP31">
        <v>4</v>
      </c>
      <c r="AQ31">
        <v>4</v>
      </c>
      <c r="AR31">
        <v>4</v>
      </c>
      <c r="AS31">
        <v>4</v>
      </c>
      <c r="AT31">
        <v>4</v>
      </c>
      <c r="AU31">
        <v>4</v>
      </c>
      <c r="AV31">
        <v>4</v>
      </c>
      <c r="AW31" t="s">
        <v>139</v>
      </c>
      <c r="AX31" t="s">
        <v>302</v>
      </c>
      <c r="AY31" t="s">
        <v>303</v>
      </c>
      <c r="AZ31" t="s">
        <v>304</v>
      </c>
    </row>
    <row r="32" spans="1:52" x14ac:dyDescent="0.35">
      <c r="A32">
        <f>IF(E32='Bộ lọc Cựu SV'!$C$5, MAX($A$1:A31)+1, "")</f>
        <v>14</v>
      </c>
      <c r="B32" s="1">
        <v>46108.376410949073</v>
      </c>
      <c r="C32" t="s">
        <v>305</v>
      </c>
      <c r="D32" t="s">
        <v>80</v>
      </c>
      <c r="E32" t="s">
        <v>87</v>
      </c>
      <c r="F32">
        <v>2020</v>
      </c>
      <c r="G32" t="s">
        <v>306</v>
      </c>
      <c r="H32" t="s">
        <v>307</v>
      </c>
      <c r="I32" t="s">
        <v>306</v>
      </c>
      <c r="J32" t="s">
        <v>308</v>
      </c>
      <c r="K32" t="s">
        <v>60</v>
      </c>
      <c r="M32" t="s">
        <v>61</v>
      </c>
      <c r="N32" t="s">
        <v>118</v>
      </c>
      <c r="O32" t="s">
        <v>90</v>
      </c>
      <c r="P32" t="s">
        <v>91</v>
      </c>
      <c r="Q32" t="s">
        <v>101</v>
      </c>
      <c r="R32" t="s">
        <v>75</v>
      </c>
      <c r="S32" t="s">
        <v>179</v>
      </c>
      <c r="T32" t="s">
        <v>67</v>
      </c>
      <c r="U32" t="s">
        <v>67</v>
      </c>
      <c r="V32" t="s">
        <v>68</v>
      </c>
      <c r="W32" t="s">
        <v>68</v>
      </c>
      <c r="X32" t="s">
        <v>68</v>
      </c>
      <c r="Y32">
        <v>5</v>
      </c>
      <c r="Z32">
        <v>5</v>
      </c>
      <c r="AA32">
        <v>5</v>
      </c>
      <c r="AB32">
        <v>5</v>
      </c>
      <c r="AC32">
        <v>5</v>
      </c>
      <c r="AD32">
        <v>5</v>
      </c>
      <c r="AE32">
        <v>5</v>
      </c>
      <c r="AF32">
        <v>5</v>
      </c>
      <c r="AG32">
        <v>5</v>
      </c>
      <c r="AH32">
        <v>5</v>
      </c>
      <c r="AI32">
        <v>5</v>
      </c>
      <c r="AJ32">
        <v>5</v>
      </c>
      <c r="AK32">
        <v>5</v>
      </c>
      <c r="AL32">
        <v>5</v>
      </c>
      <c r="AM32">
        <v>5</v>
      </c>
      <c r="AN32">
        <v>5</v>
      </c>
      <c r="AO32">
        <v>5</v>
      </c>
      <c r="AP32">
        <v>5</v>
      </c>
      <c r="AQ32">
        <v>5</v>
      </c>
      <c r="AR32">
        <v>5</v>
      </c>
      <c r="AS32">
        <v>5</v>
      </c>
      <c r="AT32">
        <v>5</v>
      </c>
      <c r="AU32">
        <v>5</v>
      </c>
      <c r="AV32">
        <v>5</v>
      </c>
      <c r="AX32" t="s">
        <v>120</v>
      </c>
      <c r="AY32" t="s">
        <v>120</v>
      </c>
      <c r="AZ32" t="s">
        <v>309</v>
      </c>
    </row>
    <row r="33" spans="1:52" x14ac:dyDescent="0.35">
      <c r="A33" t="str">
        <f>IF(E33='Bộ lọc Cựu SV'!$C$5, MAX($A$1:A32)+1, "")</f>
        <v/>
      </c>
      <c r="B33" s="1">
        <v>46108.393092534723</v>
      </c>
      <c r="C33" t="s">
        <v>310</v>
      </c>
      <c r="D33" t="s">
        <v>53</v>
      </c>
      <c r="E33" t="s">
        <v>203</v>
      </c>
      <c r="F33" t="s">
        <v>197</v>
      </c>
      <c r="G33" t="s">
        <v>311</v>
      </c>
      <c r="H33" t="s">
        <v>312</v>
      </c>
      <c r="I33" t="s">
        <v>311</v>
      </c>
      <c r="J33" t="s">
        <v>313</v>
      </c>
      <c r="K33" t="s">
        <v>60</v>
      </c>
      <c r="M33" t="s">
        <v>61</v>
      </c>
      <c r="N33" t="s">
        <v>62</v>
      </c>
      <c r="O33" t="s">
        <v>90</v>
      </c>
      <c r="P33" t="s">
        <v>130</v>
      </c>
      <c r="Q33" t="s">
        <v>101</v>
      </c>
      <c r="R33" t="s">
        <v>66</v>
      </c>
      <c r="T33" t="s">
        <v>77</v>
      </c>
      <c r="U33" t="s">
        <v>77</v>
      </c>
      <c r="V33" t="s">
        <v>79</v>
      </c>
      <c r="W33" t="s">
        <v>79</v>
      </c>
      <c r="X33" t="s">
        <v>79</v>
      </c>
      <c r="Y33">
        <v>3</v>
      </c>
      <c r="Z33">
        <v>3</v>
      </c>
      <c r="AA33">
        <v>3</v>
      </c>
      <c r="AB33">
        <v>3</v>
      </c>
      <c r="AC33">
        <v>3</v>
      </c>
      <c r="AE33">
        <v>3</v>
      </c>
      <c r="AF33">
        <v>3</v>
      </c>
      <c r="AG33">
        <v>3</v>
      </c>
      <c r="AH33">
        <v>3</v>
      </c>
      <c r="AI33">
        <v>3</v>
      </c>
      <c r="AJ33">
        <v>3</v>
      </c>
      <c r="AK33">
        <v>4</v>
      </c>
      <c r="AL33">
        <v>4</v>
      </c>
      <c r="AM33">
        <v>4</v>
      </c>
      <c r="AN33">
        <v>4</v>
      </c>
      <c r="AO33">
        <v>4</v>
      </c>
      <c r="AP33">
        <v>4</v>
      </c>
      <c r="AQ33">
        <v>4</v>
      </c>
      <c r="AR33">
        <v>4</v>
      </c>
      <c r="AS33">
        <v>4</v>
      </c>
      <c r="AT33">
        <v>4</v>
      </c>
      <c r="AU33">
        <v>4</v>
      </c>
      <c r="AV33">
        <v>4</v>
      </c>
    </row>
    <row r="34" spans="1:52" x14ac:dyDescent="0.35">
      <c r="A34">
        <f>IF(E34='Bộ lọc Cựu SV'!$C$5, MAX($A$1:A33)+1, "")</f>
        <v>15</v>
      </c>
      <c r="B34" s="1">
        <v>46108.402760428238</v>
      </c>
      <c r="C34" t="s">
        <v>314</v>
      </c>
      <c r="D34" t="s">
        <v>80</v>
      </c>
      <c r="E34" t="s">
        <v>87</v>
      </c>
      <c r="F34" t="s">
        <v>233</v>
      </c>
      <c r="G34" t="s">
        <v>315</v>
      </c>
      <c r="H34" t="s">
        <v>316</v>
      </c>
      <c r="I34" t="s">
        <v>317</v>
      </c>
      <c r="J34" t="s">
        <v>318</v>
      </c>
      <c r="K34" t="s">
        <v>60</v>
      </c>
      <c r="M34" t="s">
        <v>61</v>
      </c>
      <c r="N34" t="s">
        <v>100</v>
      </c>
      <c r="O34" t="s">
        <v>90</v>
      </c>
      <c r="P34" t="s">
        <v>319</v>
      </c>
      <c r="Q34" t="s">
        <v>101</v>
      </c>
      <c r="R34" t="s">
        <v>185</v>
      </c>
      <c r="S34" t="s">
        <v>179</v>
      </c>
      <c r="T34" t="s">
        <v>78</v>
      </c>
      <c r="U34" t="s">
        <v>77</v>
      </c>
      <c r="V34" t="s">
        <v>79</v>
      </c>
      <c r="W34" t="s">
        <v>79</v>
      </c>
      <c r="X34" t="s">
        <v>79</v>
      </c>
      <c r="Y34">
        <v>4</v>
      </c>
      <c r="Z34">
        <v>3</v>
      </c>
      <c r="AA34">
        <v>3</v>
      </c>
      <c r="AB34">
        <v>3</v>
      </c>
      <c r="AC34">
        <v>3</v>
      </c>
      <c r="AD34">
        <v>3</v>
      </c>
      <c r="AE34">
        <v>3</v>
      </c>
      <c r="AF34">
        <v>3</v>
      </c>
      <c r="AG34">
        <v>3</v>
      </c>
      <c r="AH34">
        <v>3</v>
      </c>
      <c r="AI34">
        <v>3</v>
      </c>
      <c r="AJ34">
        <v>4</v>
      </c>
      <c r="AK34">
        <v>5</v>
      </c>
      <c r="AL34">
        <v>4</v>
      </c>
      <c r="AM34">
        <v>4</v>
      </c>
      <c r="AN34">
        <v>4</v>
      </c>
      <c r="AO34">
        <v>4</v>
      </c>
      <c r="AP34">
        <v>4</v>
      </c>
      <c r="AQ34">
        <v>4</v>
      </c>
      <c r="AR34">
        <v>4</v>
      </c>
      <c r="AS34">
        <v>4</v>
      </c>
      <c r="AT34">
        <v>4</v>
      </c>
      <c r="AU34">
        <v>4</v>
      </c>
      <c r="AV34">
        <v>5</v>
      </c>
    </row>
    <row r="35" spans="1:52" x14ac:dyDescent="0.35">
      <c r="A35">
        <f>IF(E35='Bộ lọc Cựu SV'!$C$5, MAX($A$1:A34)+1, "")</f>
        <v>16</v>
      </c>
      <c r="B35" s="1">
        <v>46108.410271944442</v>
      </c>
      <c r="C35" t="s">
        <v>320</v>
      </c>
      <c r="D35" t="s">
        <v>80</v>
      </c>
      <c r="E35" t="s">
        <v>87</v>
      </c>
      <c r="F35">
        <v>2015</v>
      </c>
      <c r="G35" t="s">
        <v>321</v>
      </c>
      <c r="H35" t="s">
        <v>322</v>
      </c>
      <c r="I35" t="s">
        <v>323</v>
      </c>
      <c r="J35" t="s">
        <v>324</v>
      </c>
      <c r="K35" t="s">
        <v>60</v>
      </c>
      <c r="M35" t="s">
        <v>61</v>
      </c>
      <c r="N35" t="s">
        <v>100</v>
      </c>
      <c r="O35" t="s">
        <v>129</v>
      </c>
      <c r="P35" t="s">
        <v>84</v>
      </c>
      <c r="Q35" t="s">
        <v>101</v>
      </c>
      <c r="R35" t="s">
        <v>92</v>
      </c>
      <c r="S35" t="s">
        <v>76</v>
      </c>
      <c r="T35" t="s">
        <v>67</v>
      </c>
      <c r="U35" t="s">
        <v>67</v>
      </c>
      <c r="V35" t="s">
        <v>68</v>
      </c>
      <c r="W35" t="s">
        <v>68</v>
      </c>
      <c r="X35" t="s">
        <v>68</v>
      </c>
      <c r="Y35">
        <v>4</v>
      </c>
      <c r="Z35">
        <v>5</v>
      </c>
      <c r="AA35">
        <v>4</v>
      </c>
      <c r="AB35">
        <v>4</v>
      </c>
      <c r="AC35">
        <v>4</v>
      </c>
      <c r="AD35">
        <v>4</v>
      </c>
      <c r="AE35">
        <v>5</v>
      </c>
      <c r="AF35">
        <v>5</v>
      </c>
      <c r="AG35">
        <v>5</v>
      </c>
      <c r="AH35">
        <v>5</v>
      </c>
      <c r="AI35">
        <v>5</v>
      </c>
      <c r="AK35">
        <v>5</v>
      </c>
      <c r="AL35">
        <v>5</v>
      </c>
      <c r="AM35">
        <v>5</v>
      </c>
      <c r="AN35">
        <v>5</v>
      </c>
      <c r="AO35">
        <v>5</v>
      </c>
      <c r="AP35">
        <v>5</v>
      </c>
      <c r="AQ35">
        <v>5</v>
      </c>
      <c r="AR35">
        <v>5</v>
      </c>
      <c r="AS35">
        <v>5</v>
      </c>
      <c r="AT35">
        <v>5</v>
      </c>
      <c r="AU35">
        <v>5</v>
      </c>
      <c r="AV35">
        <v>5</v>
      </c>
    </row>
    <row r="36" spans="1:52" x14ac:dyDescent="0.35">
      <c r="A36" t="str">
        <f>IF(E36='Bộ lọc Cựu SV'!$C$5, MAX($A$1:A35)+1, "")</f>
        <v/>
      </c>
      <c r="B36" s="1">
        <v>46108.412343819437</v>
      </c>
      <c r="C36" t="s">
        <v>325</v>
      </c>
      <c r="D36" t="s">
        <v>53</v>
      </c>
      <c r="E36" t="s">
        <v>239</v>
      </c>
      <c r="F36" t="s">
        <v>326</v>
      </c>
      <c r="H36" t="s">
        <v>327</v>
      </c>
      <c r="I36" t="s">
        <v>328</v>
      </c>
      <c r="J36" t="s">
        <v>329</v>
      </c>
      <c r="K36" t="s">
        <v>60</v>
      </c>
      <c r="M36" t="s">
        <v>61</v>
      </c>
      <c r="N36" t="s">
        <v>62</v>
      </c>
      <c r="O36" t="s">
        <v>90</v>
      </c>
      <c r="P36" t="s">
        <v>130</v>
      </c>
      <c r="Q36" t="s">
        <v>65</v>
      </c>
      <c r="R36" t="s">
        <v>92</v>
      </c>
      <c r="T36" t="s">
        <v>67</v>
      </c>
      <c r="U36" t="s">
        <v>67</v>
      </c>
      <c r="V36" t="s">
        <v>68</v>
      </c>
      <c r="W36" t="s">
        <v>68</v>
      </c>
      <c r="X36" t="s">
        <v>68</v>
      </c>
      <c r="Y36">
        <v>4</v>
      </c>
      <c r="Z36">
        <v>3</v>
      </c>
      <c r="AA36">
        <v>3</v>
      </c>
      <c r="AB36">
        <v>3</v>
      </c>
      <c r="AC36">
        <v>2</v>
      </c>
      <c r="AD36">
        <v>4</v>
      </c>
      <c r="AE36">
        <v>3</v>
      </c>
      <c r="AF36">
        <v>3</v>
      </c>
      <c r="AG36">
        <v>3</v>
      </c>
      <c r="AH36">
        <v>3</v>
      </c>
      <c r="AI36">
        <v>3</v>
      </c>
      <c r="AJ36">
        <v>4</v>
      </c>
    </row>
    <row r="37" spans="1:52" x14ac:dyDescent="0.35">
      <c r="A37" t="str">
        <f>IF(E37='Bộ lọc Cựu SV'!$C$5, MAX($A$1:A36)+1, "")</f>
        <v/>
      </c>
      <c r="B37" s="1">
        <v>46108.42355482639</v>
      </c>
      <c r="C37" t="s">
        <v>330</v>
      </c>
      <c r="D37" t="s">
        <v>53</v>
      </c>
      <c r="E37" t="s">
        <v>81</v>
      </c>
      <c r="F37">
        <v>2021</v>
      </c>
      <c r="H37" t="s">
        <v>331</v>
      </c>
      <c r="I37" t="s">
        <v>332</v>
      </c>
      <c r="J37" t="s">
        <v>333</v>
      </c>
      <c r="K37" t="s">
        <v>60</v>
      </c>
      <c r="M37" t="s">
        <v>61</v>
      </c>
      <c r="N37" t="s">
        <v>100</v>
      </c>
      <c r="O37" t="s">
        <v>90</v>
      </c>
      <c r="P37" t="s">
        <v>130</v>
      </c>
      <c r="Q37" t="s">
        <v>74</v>
      </c>
      <c r="R37" t="s">
        <v>66</v>
      </c>
      <c r="T37" t="s">
        <v>67</v>
      </c>
      <c r="U37" t="s">
        <v>67</v>
      </c>
      <c r="V37" t="s">
        <v>68</v>
      </c>
      <c r="W37" t="s">
        <v>68</v>
      </c>
      <c r="X37" t="s">
        <v>79</v>
      </c>
      <c r="Y37">
        <v>5</v>
      </c>
      <c r="Z37">
        <v>5</v>
      </c>
      <c r="AA37">
        <v>5</v>
      </c>
      <c r="AB37">
        <v>5</v>
      </c>
      <c r="AC37">
        <v>5</v>
      </c>
      <c r="AD37">
        <v>5</v>
      </c>
      <c r="AE37">
        <v>5</v>
      </c>
      <c r="AF37">
        <v>5</v>
      </c>
      <c r="AG37">
        <v>5</v>
      </c>
      <c r="AH37">
        <v>5</v>
      </c>
      <c r="AI37">
        <v>5</v>
      </c>
      <c r="AJ37">
        <v>5</v>
      </c>
      <c r="AK37">
        <v>5</v>
      </c>
      <c r="AL37">
        <v>5</v>
      </c>
      <c r="AM37">
        <v>5</v>
      </c>
      <c r="AN37">
        <v>5</v>
      </c>
      <c r="AO37">
        <v>5</v>
      </c>
      <c r="AP37">
        <v>5</v>
      </c>
      <c r="AQ37">
        <v>5</v>
      </c>
      <c r="AR37">
        <v>5</v>
      </c>
      <c r="AS37">
        <v>5</v>
      </c>
      <c r="AT37">
        <v>5</v>
      </c>
      <c r="AU37">
        <v>5</v>
      </c>
      <c r="AV37">
        <v>5</v>
      </c>
    </row>
    <row r="38" spans="1:52" x14ac:dyDescent="0.35">
      <c r="A38" t="str">
        <f>IF(E38='Bộ lọc Cựu SV'!$C$5, MAX($A$1:A37)+1, "")</f>
        <v/>
      </c>
      <c r="B38" s="1">
        <v>46108.433076909721</v>
      </c>
      <c r="C38" t="s">
        <v>334</v>
      </c>
      <c r="D38" t="s">
        <v>53</v>
      </c>
      <c r="E38" t="s">
        <v>81</v>
      </c>
      <c r="F38" t="s">
        <v>335</v>
      </c>
      <c r="G38" t="s">
        <v>336</v>
      </c>
      <c r="H38" t="s">
        <v>337</v>
      </c>
      <c r="I38" t="s">
        <v>338</v>
      </c>
      <c r="J38" t="s">
        <v>339</v>
      </c>
      <c r="K38" t="s">
        <v>60</v>
      </c>
      <c r="M38" t="s">
        <v>301</v>
      </c>
      <c r="N38" t="s">
        <v>128</v>
      </c>
      <c r="O38" t="s">
        <v>129</v>
      </c>
      <c r="P38" t="s">
        <v>193</v>
      </c>
      <c r="Q38" t="s">
        <v>101</v>
      </c>
      <c r="R38" t="s">
        <v>75</v>
      </c>
      <c r="S38" t="s">
        <v>186</v>
      </c>
      <c r="T38" t="s">
        <v>77</v>
      </c>
      <c r="U38" t="s">
        <v>77</v>
      </c>
      <c r="V38" t="s">
        <v>79</v>
      </c>
      <c r="W38" t="s">
        <v>79</v>
      </c>
      <c r="X38" t="s">
        <v>79</v>
      </c>
      <c r="Y38">
        <v>2</v>
      </c>
      <c r="Z38">
        <v>2</v>
      </c>
      <c r="AA38">
        <v>2</v>
      </c>
      <c r="AB38">
        <v>2</v>
      </c>
      <c r="AC38">
        <v>2</v>
      </c>
      <c r="AD38">
        <v>2</v>
      </c>
      <c r="AE38">
        <v>2</v>
      </c>
      <c r="AF38">
        <v>2</v>
      </c>
      <c r="AG38">
        <v>2</v>
      </c>
      <c r="AH38">
        <v>2</v>
      </c>
      <c r="AI38">
        <v>2</v>
      </c>
      <c r="AJ38">
        <v>2</v>
      </c>
      <c r="AK38">
        <v>3</v>
      </c>
      <c r="AL38">
        <v>2</v>
      </c>
      <c r="AM38">
        <v>3</v>
      </c>
      <c r="AN38">
        <v>3</v>
      </c>
      <c r="AO38">
        <v>3</v>
      </c>
      <c r="AP38">
        <v>2</v>
      </c>
      <c r="AQ38">
        <v>3</v>
      </c>
      <c r="AR38">
        <v>2</v>
      </c>
      <c r="AS38">
        <v>2</v>
      </c>
      <c r="AT38">
        <v>3</v>
      </c>
      <c r="AU38">
        <v>3</v>
      </c>
      <c r="AV38">
        <v>3</v>
      </c>
      <c r="AY38" t="s">
        <v>340</v>
      </c>
      <c r="AZ38" t="s">
        <v>341</v>
      </c>
    </row>
    <row r="39" spans="1:52" x14ac:dyDescent="0.35">
      <c r="A39" t="str">
        <f>IF(E39='Bộ lọc Cựu SV'!$C$5, MAX($A$1:A38)+1, "")</f>
        <v/>
      </c>
      <c r="B39" s="1">
        <v>46108.438458564808</v>
      </c>
      <c r="C39" t="s">
        <v>342</v>
      </c>
      <c r="D39" t="s">
        <v>53</v>
      </c>
      <c r="E39" t="s">
        <v>81</v>
      </c>
      <c r="F39" t="s">
        <v>197</v>
      </c>
      <c r="G39" t="s">
        <v>343</v>
      </c>
      <c r="H39" t="s">
        <v>344</v>
      </c>
      <c r="I39" t="s">
        <v>345</v>
      </c>
      <c r="J39" t="s">
        <v>346</v>
      </c>
      <c r="K39" t="s">
        <v>60</v>
      </c>
      <c r="M39" t="s">
        <v>61</v>
      </c>
      <c r="N39" t="s">
        <v>347</v>
      </c>
      <c r="O39" t="s">
        <v>90</v>
      </c>
      <c r="P39" t="s">
        <v>193</v>
      </c>
      <c r="Q39" t="s">
        <v>101</v>
      </c>
      <c r="R39" t="s">
        <v>66</v>
      </c>
      <c r="T39" t="s">
        <v>67</v>
      </c>
      <c r="U39" t="s">
        <v>67</v>
      </c>
      <c r="V39" t="s">
        <v>68</v>
      </c>
      <c r="W39" t="s">
        <v>68</v>
      </c>
      <c r="X39" t="s">
        <v>68</v>
      </c>
      <c r="Y39">
        <v>4</v>
      </c>
      <c r="Z39">
        <v>5</v>
      </c>
      <c r="AA39">
        <v>5</v>
      </c>
      <c r="AB39">
        <v>4</v>
      </c>
      <c r="AC39">
        <v>5</v>
      </c>
      <c r="AD39">
        <v>5</v>
      </c>
      <c r="AE39">
        <v>4</v>
      </c>
      <c r="AF39">
        <v>5</v>
      </c>
      <c r="AG39">
        <v>5</v>
      </c>
      <c r="AH39">
        <v>4</v>
      </c>
      <c r="AI39">
        <v>5</v>
      </c>
      <c r="AJ39">
        <v>5</v>
      </c>
      <c r="AK39">
        <v>5</v>
      </c>
      <c r="AL39">
        <v>5</v>
      </c>
      <c r="AM39">
        <v>5</v>
      </c>
      <c r="AN39">
        <v>5</v>
      </c>
      <c r="AO39">
        <v>5</v>
      </c>
      <c r="AP39">
        <v>5</v>
      </c>
      <c r="AQ39">
        <v>5</v>
      </c>
      <c r="AR39">
        <v>5</v>
      </c>
      <c r="AS39">
        <v>5</v>
      </c>
      <c r="AT39">
        <v>5</v>
      </c>
      <c r="AU39">
        <v>5</v>
      </c>
      <c r="AV39">
        <v>5</v>
      </c>
      <c r="AW39" t="s">
        <v>120</v>
      </c>
      <c r="AX39" t="s">
        <v>139</v>
      </c>
      <c r="AY39" t="s">
        <v>139</v>
      </c>
      <c r="AZ39" t="s">
        <v>139</v>
      </c>
    </row>
    <row r="40" spans="1:52" x14ac:dyDescent="0.35">
      <c r="A40" t="str">
        <f>IF(E40='Bộ lọc Cựu SV'!$C$5, MAX($A$1:A39)+1, "")</f>
        <v/>
      </c>
      <c r="B40" s="1">
        <v>46108.484092615741</v>
      </c>
      <c r="C40" t="s">
        <v>348</v>
      </c>
      <c r="D40" t="s">
        <v>53</v>
      </c>
      <c r="E40" t="s">
        <v>239</v>
      </c>
      <c r="F40" t="s">
        <v>172</v>
      </c>
      <c r="H40" t="s">
        <v>349</v>
      </c>
      <c r="I40" t="s">
        <v>350</v>
      </c>
      <c r="J40" t="s">
        <v>351</v>
      </c>
      <c r="K40" t="s">
        <v>60</v>
      </c>
      <c r="M40" t="s">
        <v>61</v>
      </c>
      <c r="N40" t="s">
        <v>112</v>
      </c>
      <c r="O40" t="s">
        <v>90</v>
      </c>
      <c r="P40" t="s">
        <v>193</v>
      </c>
      <c r="Q40" t="s">
        <v>65</v>
      </c>
      <c r="R40" t="s">
        <v>66</v>
      </c>
      <c r="T40" t="s">
        <v>77</v>
      </c>
      <c r="U40" t="s">
        <v>78</v>
      </c>
      <c r="V40" t="s">
        <v>79</v>
      </c>
      <c r="W40" t="s">
        <v>79</v>
      </c>
      <c r="X40" t="s">
        <v>79</v>
      </c>
      <c r="Y40">
        <v>4</v>
      </c>
      <c r="Z40">
        <v>3</v>
      </c>
      <c r="AA40">
        <v>5</v>
      </c>
      <c r="AB40">
        <v>4</v>
      </c>
      <c r="AC40">
        <v>4</v>
      </c>
      <c r="AD40">
        <v>4</v>
      </c>
      <c r="AE40">
        <v>2</v>
      </c>
      <c r="AF40">
        <v>3</v>
      </c>
      <c r="AG40">
        <v>3</v>
      </c>
      <c r="AH40">
        <v>3</v>
      </c>
      <c r="AI40">
        <v>3</v>
      </c>
      <c r="AJ40">
        <v>3</v>
      </c>
      <c r="AK40">
        <v>5</v>
      </c>
      <c r="AL40">
        <v>3</v>
      </c>
      <c r="AM40">
        <v>5</v>
      </c>
      <c r="AN40">
        <v>4</v>
      </c>
      <c r="AO40">
        <v>5</v>
      </c>
      <c r="AP40">
        <v>4</v>
      </c>
      <c r="AQ40">
        <v>5</v>
      </c>
      <c r="AR40">
        <v>5</v>
      </c>
      <c r="AS40">
        <v>5</v>
      </c>
      <c r="AT40">
        <v>5</v>
      </c>
      <c r="AU40">
        <v>5</v>
      </c>
      <c r="AV40">
        <v>5</v>
      </c>
    </row>
    <row r="41" spans="1:52" x14ac:dyDescent="0.35">
      <c r="A41" t="str">
        <f>IF(E41='Bộ lọc Cựu SV'!$C$5, MAX($A$1:A40)+1, "")</f>
        <v/>
      </c>
      <c r="B41" s="1">
        <v>46108.567697986109</v>
      </c>
      <c r="C41" t="s">
        <v>352</v>
      </c>
      <c r="D41" t="s">
        <v>80</v>
      </c>
      <c r="E41" t="s">
        <v>81</v>
      </c>
      <c r="F41" t="s">
        <v>172</v>
      </c>
      <c r="J41" t="s">
        <v>353</v>
      </c>
      <c r="K41" t="s">
        <v>60</v>
      </c>
      <c r="M41" t="s">
        <v>61</v>
      </c>
      <c r="N41" t="s">
        <v>83</v>
      </c>
      <c r="O41" t="s">
        <v>90</v>
      </c>
      <c r="P41" t="s">
        <v>193</v>
      </c>
      <c r="Q41" t="s">
        <v>101</v>
      </c>
      <c r="R41" t="s">
        <v>75</v>
      </c>
      <c r="S41" t="s">
        <v>179</v>
      </c>
      <c r="T41" t="s">
        <v>77</v>
      </c>
      <c r="U41" t="s">
        <v>77</v>
      </c>
      <c r="V41" t="s">
        <v>79</v>
      </c>
      <c r="W41" t="s">
        <v>79</v>
      </c>
      <c r="X41" t="s">
        <v>79</v>
      </c>
      <c r="Y41">
        <v>4</v>
      </c>
      <c r="Z41">
        <v>3</v>
      </c>
      <c r="AA41">
        <v>4</v>
      </c>
      <c r="AB41">
        <v>4</v>
      </c>
      <c r="AC41">
        <v>3</v>
      </c>
      <c r="AD41">
        <v>4</v>
      </c>
      <c r="AE41">
        <v>3</v>
      </c>
      <c r="AF41">
        <v>2</v>
      </c>
      <c r="AG41">
        <v>4</v>
      </c>
      <c r="AH41">
        <v>3</v>
      </c>
      <c r="AI41">
        <v>4</v>
      </c>
      <c r="AJ41">
        <v>4</v>
      </c>
      <c r="AK41">
        <v>5</v>
      </c>
      <c r="AL41">
        <v>3</v>
      </c>
      <c r="AM41">
        <v>4</v>
      </c>
      <c r="AN41">
        <v>3</v>
      </c>
      <c r="AO41">
        <v>3</v>
      </c>
      <c r="AP41">
        <v>3</v>
      </c>
      <c r="AQ41">
        <v>4</v>
      </c>
      <c r="AR41">
        <v>3</v>
      </c>
      <c r="AS41">
        <v>3</v>
      </c>
      <c r="AT41">
        <v>3</v>
      </c>
      <c r="AU41">
        <v>3</v>
      </c>
      <c r="AV41">
        <v>3</v>
      </c>
    </row>
    <row r="42" spans="1:52" x14ac:dyDescent="0.35">
      <c r="A42" t="str">
        <f>IF(E42='Bộ lọc Cựu SV'!$C$5, MAX($A$1:A41)+1, "")</f>
        <v/>
      </c>
      <c r="B42" s="1">
        <v>46108.604857997692</v>
      </c>
      <c r="C42" t="s">
        <v>354</v>
      </c>
      <c r="D42" t="s">
        <v>53</v>
      </c>
      <c r="E42" t="s">
        <v>81</v>
      </c>
      <c r="F42">
        <v>2020</v>
      </c>
      <c r="I42" t="s">
        <v>355</v>
      </c>
      <c r="J42" t="s">
        <v>356</v>
      </c>
      <c r="K42" t="s">
        <v>60</v>
      </c>
      <c r="M42" t="s">
        <v>61</v>
      </c>
      <c r="N42" t="s">
        <v>62</v>
      </c>
      <c r="O42" t="s">
        <v>129</v>
      </c>
      <c r="P42" t="s">
        <v>130</v>
      </c>
      <c r="Q42" t="s">
        <v>101</v>
      </c>
      <c r="R42" t="s">
        <v>75</v>
      </c>
      <c r="S42" t="s">
        <v>102</v>
      </c>
      <c r="T42" t="s">
        <v>77</v>
      </c>
      <c r="U42" t="s">
        <v>77</v>
      </c>
      <c r="V42" t="s">
        <v>79</v>
      </c>
      <c r="W42" t="s">
        <v>79</v>
      </c>
      <c r="X42" t="s">
        <v>85</v>
      </c>
      <c r="Y42">
        <v>3</v>
      </c>
      <c r="Z42">
        <v>3</v>
      </c>
      <c r="AA42">
        <v>3</v>
      </c>
      <c r="AB42">
        <v>3</v>
      </c>
      <c r="AC42">
        <v>3</v>
      </c>
      <c r="AD42">
        <v>3</v>
      </c>
      <c r="AE42">
        <v>3</v>
      </c>
      <c r="AF42">
        <v>3</v>
      </c>
      <c r="AG42">
        <v>3</v>
      </c>
      <c r="AH42">
        <v>3</v>
      </c>
      <c r="AI42">
        <v>3</v>
      </c>
      <c r="AJ42">
        <v>3</v>
      </c>
      <c r="AK42">
        <v>3</v>
      </c>
      <c r="AL42">
        <v>3</v>
      </c>
      <c r="AM42">
        <v>3</v>
      </c>
      <c r="AN42">
        <v>3</v>
      </c>
      <c r="AO42">
        <v>3</v>
      </c>
      <c r="AP42">
        <v>3</v>
      </c>
      <c r="AQ42">
        <v>3</v>
      </c>
      <c r="AR42">
        <v>3</v>
      </c>
      <c r="AS42">
        <v>3</v>
      </c>
      <c r="AT42">
        <v>3</v>
      </c>
      <c r="AU42">
        <v>3</v>
      </c>
      <c r="AV42">
        <v>3</v>
      </c>
      <c r="AX42" t="s">
        <v>357</v>
      </c>
      <c r="AY42" t="s">
        <v>358</v>
      </c>
    </row>
    <row r="43" spans="1:52" x14ac:dyDescent="0.35">
      <c r="A43" t="str">
        <f>IF(E43='Bộ lọc Cựu SV'!$C$5, MAX($A$1:A42)+1, "")</f>
        <v/>
      </c>
      <c r="B43" s="1">
        <v>46108.984867071762</v>
      </c>
      <c r="C43" t="s">
        <v>359</v>
      </c>
      <c r="D43" t="s">
        <v>53</v>
      </c>
      <c r="E43" t="s">
        <v>239</v>
      </c>
      <c r="F43" t="s">
        <v>197</v>
      </c>
      <c r="H43" t="s">
        <v>360</v>
      </c>
      <c r="I43" t="s">
        <v>361</v>
      </c>
      <c r="J43" t="s">
        <v>362</v>
      </c>
      <c r="K43" t="s">
        <v>60</v>
      </c>
      <c r="M43" t="s">
        <v>61</v>
      </c>
      <c r="N43" t="s">
        <v>100</v>
      </c>
      <c r="O43" t="s">
        <v>90</v>
      </c>
      <c r="P43" t="s">
        <v>363</v>
      </c>
      <c r="Q43" t="s">
        <v>101</v>
      </c>
      <c r="R43" t="s">
        <v>92</v>
      </c>
      <c r="S43" t="s">
        <v>76</v>
      </c>
      <c r="T43" t="s">
        <v>78</v>
      </c>
      <c r="U43" t="s">
        <v>78</v>
      </c>
      <c r="V43" t="s">
        <v>79</v>
      </c>
      <c r="W43" t="s">
        <v>79</v>
      </c>
      <c r="X43" t="s">
        <v>79</v>
      </c>
      <c r="Y43">
        <v>3</v>
      </c>
      <c r="Z43">
        <v>3</v>
      </c>
      <c r="AA43">
        <v>3</v>
      </c>
      <c r="AB43">
        <v>3</v>
      </c>
      <c r="AC43">
        <v>4</v>
      </c>
      <c r="AD43">
        <v>3</v>
      </c>
      <c r="AE43">
        <v>3</v>
      </c>
      <c r="AF43">
        <v>3</v>
      </c>
      <c r="AG43">
        <v>3</v>
      </c>
      <c r="AH43">
        <v>3</v>
      </c>
      <c r="AI43">
        <v>5</v>
      </c>
      <c r="AJ43">
        <v>5</v>
      </c>
      <c r="AK43">
        <v>3</v>
      </c>
      <c r="AL43">
        <v>3</v>
      </c>
      <c r="AM43">
        <v>3</v>
      </c>
      <c r="AN43">
        <v>3</v>
      </c>
      <c r="AO43">
        <v>4</v>
      </c>
      <c r="AP43">
        <v>3</v>
      </c>
      <c r="AQ43">
        <v>3</v>
      </c>
      <c r="AR43">
        <v>3</v>
      </c>
      <c r="AS43">
        <v>3</v>
      </c>
      <c r="AT43">
        <v>3</v>
      </c>
      <c r="AU43">
        <v>5</v>
      </c>
      <c r="AV43">
        <v>5</v>
      </c>
    </row>
    <row r="44" spans="1:52" x14ac:dyDescent="0.35">
      <c r="A44" t="str">
        <f>IF(E44='Bộ lọc Cựu SV'!$C$5, MAX($A$1:A43)+1, "")</f>
        <v/>
      </c>
      <c r="B44" s="1">
        <v>46109.376045775462</v>
      </c>
      <c r="C44" t="s">
        <v>364</v>
      </c>
      <c r="D44" t="s">
        <v>53</v>
      </c>
      <c r="E44" t="s">
        <v>81</v>
      </c>
      <c r="F44">
        <v>2021</v>
      </c>
      <c r="G44" t="s">
        <v>365</v>
      </c>
      <c r="H44" t="s">
        <v>366</v>
      </c>
      <c r="I44" t="s">
        <v>367</v>
      </c>
      <c r="J44" t="s">
        <v>368</v>
      </c>
      <c r="K44" t="s">
        <v>60</v>
      </c>
      <c r="M44" t="s">
        <v>61</v>
      </c>
      <c r="N44" t="s">
        <v>83</v>
      </c>
      <c r="O44" t="s">
        <v>90</v>
      </c>
      <c r="P44" t="s">
        <v>193</v>
      </c>
      <c r="Q44" t="s">
        <v>101</v>
      </c>
      <c r="R44" t="s">
        <v>75</v>
      </c>
      <c r="S44" t="s">
        <v>102</v>
      </c>
      <c r="T44" t="s">
        <v>67</v>
      </c>
      <c r="U44" t="s">
        <v>67</v>
      </c>
      <c r="V44" t="s">
        <v>68</v>
      </c>
      <c r="W44" t="s">
        <v>68</v>
      </c>
      <c r="X44" t="s">
        <v>68</v>
      </c>
      <c r="Y44">
        <v>4</v>
      </c>
      <c r="Z44">
        <v>3</v>
      </c>
      <c r="AA44">
        <v>4</v>
      </c>
      <c r="AB44">
        <v>4</v>
      </c>
      <c r="AC44">
        <v>3</v>
      </c>
      <c r="AD44">
        <v>4</v>
      </c>
      <c r="AE44">
        <v>3</v>
      </c>
      <c r="AF44">
        <v>4</v>
      </c>
      <c r="AG44">
        <v>4</v>
      </c>
      <c r="AH44">
        <v>4</v>
      </c>
      <c r="AI44">
        <v>4</v>
      </c>
      <c r="AJ44">
        <v>3</v>
      </c>
      <c r="AK44">
        <v>4</v>
      </c>
      <c r="AL44">
        <v>4</v>
      </c>
      <c r="AM44">
        <v>3</v>
      </c>
      <c r="AN44">
        <v>3</v>
      </c>
      <c r="AO44">
        <v>4</v>
      </c>
      <c r="AP44">
        <v>4</v>
      </c>
      <c r="AQ44">
        <v>4</v>
      </c>
      <c r="AR44">
        <v>4</v>
      </c>
      <c r="AS44">
        <v>3</v>
      </c>
      <c r="AT44">
        <v>4</v>
      </c>
      <c r="AU44">
        <v>3</v>
      </c>
      <c r="AV44">
        <v>4</v>
      </c>
      <c r="AW44" t="s">
        <v>139</v>
      </c>
      <c r="AX44" t="s">
        <v>369</v>
      </c>
      <c r="AY44" t="s">
        <v>369</v>
      </c>
      <c r="AZ44" t="s">
        <v>370</v>
      </c>
    </row>
    <row r="45" spans="1:52" x14ac:dyDescent="0.35">
      <c r="A45" t="str">
        <f>IF(E45='Bộ lọc Cựu SV'!$C$5, MAX($A$1:A44)+1, "")</f>
        <v/>
      </c>
      <c r="B45" s="1">
        <v>46110.39519412037</v>
      </c>
      <c r="C45" t="s">
        <v>371</v>
      </c>
      <c r="D45" t="s">
        <v>53</v>
      </c>
      <c r="E45" t="s">
        <v>81</v>
      </c>
      <c r="F45">
        <v>2021</v>
      </c>
      <c r="J45" t="s">
        <v>372</v>
      </c>
      <c r="K45" t="s">
        <v>60</v>
      </c>
      <c r="M45" t="s">
        <v>61</v>
      </c>
      <c r="N45" t="s">
        <v>100</v>
      </c>
      <c r="O45" t="s">
        <v>90</v>
      </c>
      <c r="P45" t="s">
        <v>130</v>
      </c>
      <c r="Q45" t="s">
        <v>74</v>
      </c>
      <c r="R45" t="s">
        <v>75</v>
      </c>
      <c r="T45" t="s">
        <v>77</v>
      </c>
      <c r="U45" t="s">
        <v>77</v>
      </c>
      <c r="V45" t="s">
        <v>79</v>
      </c>
      <c r="W45" t="s">
        <v>79</v>
      </c>
      <c r="X45" t="s">
        <v>79</v>
      </c>
      <c r="Y45">
        <v>3</v>
      </c>
      <c r="Z45">
        <v>3</v>
      </c>
      <c r="AA45">
        <v>3</v>
      </c>
      <c r="AB45">
        <v>3</v>
      </c>
      <c r="AC45">
        <v>3</v>
      </c>
      <c r="AD45">
        <v>3</v>
      </c>
      <c r="AE45">
        <v>3</v>
      </c>
      <c r="AF45">
        <v>3</v>
      </c>
      <c r="AG45">
        <v>3</v>
      </c>
      <c r="AH45">
        <v>3</v>
      </c>
      <c r="AI45">
        <v>3</v>
      </c>
      <c r="AJ45">
        <v>3</v>
      </c>
      <c r="AK45">
        <v>3</v>
      </c>
      <c r="AL45">
        <v>3</v>
      </c>
      <c r="AM45">
        <v>3</v>
      </c>
      <c r="AN45">
        <v>3</v>
      </c>
      <c r="AO45">
        <v>3</v>
      </c>
      <c r="AP45">
        <v>3</v>
      </c>
      <c r="AQ45">
        <v>3</v>
      </c>
      <c r="AR45">
        <v>3</v>
      </c>
      <c r="AS45">
        <v>3</v>
      </c>
      <c r="AT45">
        <v>3</v>
      </c>
      <c r="AU45">
        <v>3</v>
      </c>
      <c r="AV45">
        <v>3</v>
      </c>
    </row>
    <row r="46" spans="1:52" x14ac:dyDescent="0.35">
      <c r="A46">
        <f>IF(E46='Bộ lọc Cựu SV'!$C$5, MAX($A$1:A45)+1, "")</f>
        <v>17</v>
      </c>
      <c r="B46" s="1">
        <v>46111.465782847219</v>
      </c>
      <c r="C46" t="s">
        <v>373</v>
      </c>
      <c r="D46" t="s">
        <v>53</v>
      </c>
      <c r="E46" t="s">
        <v>87</v>
      </c>
      <c r="F46">
        <v>2018</v>
      </c>
      <c r="G46" t="s">
        <v>374</v>
      </c>
      <c r="H46" t="s">
        <v>375</v>
      </c>
      <c r="I46" t="s">
        <v>376</v>
      </c>
      <c r="J46" t="s">
        <v>377</v>
      </c>
      <c r="K46" t="s">
        <v>60</v>
      </c>
      <c r="M46" t="s">
        <v>61</v>
      </c>
      <c r="N46" t="s">
        <v>83</v>
      </c>
      <c r="O46" t="s">
        <v>90</v>
      </c>
      <c r="P46" t="s">
        <v>193</v>
      </c>
      <c r="Q46" t="s">
        <v>65</v>
      </c>
      <c r="R46" t="s">
        <v>66</v>
      </c>
      <c r="T46" t="s">
        <v>67</v>
      </c>
      <c r="U46" t="s">
        <v>67</v>
      </c>
      <c r="V46" t="s">
        <v>68</v>
      </c>
      <c r="W46" t="s">
        <v>68</v>
      </c>
      <c r="X46" t="s">
        <v>68</v>
      </c>
      <c r="Y46">
        <v>5</v>
      </c>
      <c r="Z46">
        <v>5</v>
      </c>
      <c r="AA46">
        <v>5</v>
      </c>
      <c r="AB46">
        <v>5</v>
      </c>
      <c r="AC46">
        <v>5</v>
      </c>
      <c r="AD46">
        <v>5</v>
      </c>
      <c r="AE46">
        <v>5</v>
      </c>
      <c r="AF46">
        <v>5</v>
      </c>
      <c r="AG46">
        <v>5</v>
      </c>
      <c r="AH46">
        <v>5</v>
      </c>
      <c r="AI46">
        <v>5</v>
      </c>
      <c r="AJ46">
        <v>5</v>
      </c>
      <c r="AK46">
        <v>5</v>
      </c>
      <c r="AL46">
        <v>5</v>
      </c>
      <c r="AM46">
        <v>5</v>
      </c>
      <c r="AN46">
        <v>5</v>
      </c>
      <c r="AO46">
        <v>5</v>
      </c>
      <c r="AP46">
        <v>5</v>
      </c>
      <c r="AQ46">
        <v>5</v>
      </c>
      <c r="AR46">
        <v>5</v>
      </c>
      <c r="AS46">
        <v>5</v>
      </c>
      <c r="AT46">
        <v>5</v>
      </c>
      <c r="AU46">
        <v>5</v>
      </c>
      <c r="AV46">
        <v>5</v>
      </c>
    </row>
    <row r="47" spans="1:52" x14ac:dyDescent="0.35">
      <c r="A47" t="str">
        <f>IF(E47='Bộ lọc Cựu SV'!$C$5, MAX($A$1:A46)+1, "")</f>
        <v/>
      </c>
      <c r="B47" s="1">
        <v>46111.676221180547</v>
      </c>
      <c r="C47" t="s">
        <v>378</v>
      </c>
      <c r="D47" t="s">
        <v>53</v>
      </c>
      <c r="E47" t="s">
        <v>54</v>
      </c>
      <c r="F47">
        <v>2019</v>
      </c>
      <c r="G47" t="s">
        <v>379</v>
      </c>
      <c r="H47" t="s">
        <v>380</v>
      </c>
      <c r="I47" t="s">
        <v>381</v>
      </c>
      <c r="J47" t="s">
        <v>382</v>
      </c>
      <c r="K47" t="s">
        <v>60</v>
      </c>
      <c r="L47" t="s">
        <v>383</v>
      </c>
      <c r="M47" t="s">
        <v>61</v>
      </c>
      <c r="N47" t="s">
        <v>384</v>
      </c>
      <c r="O47" t="s">
        <v>90</v>
      </c>
      <c r="P47" t="s">
        <v>193</v>
      </c>
      <c r="Q47" t="s">
        <v>101</v>
      </c>
      <c r="R47" t="s">
        <v>66</v>
      </c>
      <c r="T47" t="s">
        <v>67</v>
      </c>
      <c r="U47" t="s">
        <v>67</v>
      </c>
      <c r="V47" t="s">
        <v>68</v>
      </c>
      <c r="W47" t="s">
        <v>68</v>
      </c>
      <c r="X47" t="s">
        <v>68</v>
      </c>
      <c r="Y47">
        <v>5</v>
      </c>
      <c r="Z47">
        <v>5</v>
      </c>
      <c r="AA47">
        <v>5</v>
      </c>
      <c r="AB47">
        <v>5</v>
      </c>
      <c r="AC47">
        <v>4</v>
      </c>
      <c r="AD47">
        <v>4</v>
      </c>
      <c r="AE47">
        <v>5</v>
      </c>
      <c r="AF47">
        <v>5</v>
      </c>
      <c r="AG47">
        <v>5</v>
      </c>
      <c r="AH47">
        <v>5</v>
      </c>
      <c r="AI47">
        <v>5</v>
      </c>
      <c r="AJ47">
        <v>5</v>
      </c>
      <c r="AK47">
        <v>5</v>
      </c>
      <c r="AL47">
        <v>5</v>
      </c>
      <c r="AM47">
        <v>5</v>
      </c>
      <c r="AN47">
        <v>5</v>
      </c>
      <c r="AO47">
        <v>5</v>
      </c>
      <c r="AP47">
        <v>5</v>
      </c>
      <c r="AQ47">
        <v>5</v>
      </c>
      <c r="AR47">
        <v>5</v>
      </c>
      <c r="AS47">
        <v>5</v>
      </c>
      <c r="AT47">
        <v>5</v>
      </c>
      <c r="AU47">
        <v>5</v>
      </c>
      <c r="AV47">
        <v>5</v>
      </c>
      <c r="AZ47" t="s">
        <v>385</v>
      </c>
    </row>
    <row r="48" spans="1:52" x14ac:dyDescent="0.35">
      <c r="A48" t="str">
        <f>IF(E48='Bộ lọc Cựu SV'!$C$5, MAX($A$1:A47)+1, "")</f>
        <v/>
      </c>
      <c r="B48" s="1">
        <v>46111.688717245372</v>
      </c>
      <c r="C48" t="s">
        <v>386</v>
      </c>
      <c r="D48" t="s">
        <v>53</v>
      </c>
      <c r="E48" t="s">
        <v>54</v>
      </c>
      <c r="F48" t="s">
        <v>197</v>
      </c>
      <c r="G48" t="s">
        <v>387</v>
      </c>
      <c r="H48" t="s">
        <v>388</v>
      </c>
      <c r="I48" t="s">
        <v>389</v>
      </c>
      <c r="J48" t="s">
        <v>390</v>
      </c>
      <c r="K48" t="s">
        <v>60</v>
      </c>
      <c r="M48" t="s">
        <v>61</v>
      </c>
      <c r="N48" t="s">
        <v>384</v>
      </c>
      <c r="O48" t="s">
        <v>129</v>
      </c>
      <c r="P48" t="s">
        <v>73</v>
      </c>
      <c r="Q48" t="s">
        <v>101</v>
      </c>
      <c r="R48" t="s">
        <v>66</v>
      </c>
      <c r="T48" t="s">
        <v>245</v>
      </c>
      <c r="U48" t="s">
        <v>245</v>
      </c>
      <c r="V48" t="s">
        <v>253</v>
      </c>
      <c r="W48" t="s">
        <v>253</v>
      </c>
      <c r="X48" t="s">
        <v>253</v>
      </c>
      <c r="Y48">
        <v>5</v>
      </c>
      <c r="Z48">
        <v>5</v>
      </c>
      <c r="AA48">
        <v>5</v>
      </c>
      <c r="AB48">
        <v>5</v>
      </c>
      <c r="AC48">
        <v>5</v>
      </c>
      <c r="AD48">
        <v>5</v>
      </c>
      <c r="AE48">
        <v>5</v>
      </c>
      <c r="AF48">
        <v>5</v>
      </c>
      <c r="AG48">
        <v>5</v>
      </c>
      <c r="AH48">
        <v>5</v>
      </c>
      <c r="AI48">
        <v>5</v>
      </c>
      <c r="AK48">
        <v>5</v>
      </c>
      <c r="AL48">
        <v>5</v>
      </c>
      <c r="AM48">
        <v>5</v>
      </c>
      <c r="AN48">
        <v>5</v>
      </c>
      <c r="AO48">
        <v>5</v>
      </c>
      <c r="AP48">
        <v>5</v>
      </c>
      <c r="AQ48">
        <v>5</v>
      </c>
      <c r="AR48">
        <v>5</v>
      </c>
      <c r="AS48">
        <v>5</v>
      </c>
      <c r="AT48">
        <v>5</v>
      </c>
      <c r="AU48">
        <v>5</v>
      </c>
      <c r="AV48">
        <v>5</v>
      </c>
      <c r="AW48" t="s">
        <v>391</v>
      </c>
      <c r="AX48" t="s">
        <v>391</v>
      </c>
      <c r="AY48" t="s">
        <v>391</v>
      </c>
      <c r="AZ48" t="s">
        <v>391</v>
      </c>
    </row>
    <row r="49" spans="1:52" x14ac:dyDescent="0.35">
      <c r="A49" t="str">
        <f>IF(E49='Bộ lọc Cựu SV'!$C$5, MAX($A$1:A48)+1, "")</f>
        <v/>
      </c>
      <c r="B49" s="1">
        <v>46111.701804976852</v>
      </c>
      <c r="C49" t="s">
        <v>392</v>
      </c>
      <c r="D49" t="s">
        <v>53</v>
      </c>
      <c r="E49" t="s">
        <v>54</v>
      </c>
      <c r="F49" t="s">
        <v>393</v>
      </c>
      <c r="J49" t="s">
        <v>394</v>
      </c>
      <c r="K49" t="s">
        <v>60</v>
      </c>
      <c r="M49" t="s">
        <v>61</v>
      </c>
      <c r="N49" t="s">
        <v>100</v>
      </c>
      <c r="O49" t="s">
        <v>90</v>
      </c>
      <c r="P49" t="s">
        <v>91</v>
      </c>
      <c r="Q49" t="s">
        <v>101</v>
      </c>
      <c r="R49" t="s">
        <v>92</v>
      </c>
      <c r="S49" t="s">
        <v>76</v>
      </c>
      <c r="T49" t="s">
        <v>77</v>
      </c>
      <c r="U49" t="s">
        <v>77</v>
      </c>
      <c r="V49" t="s">
        <v>79</v>
      </c>
      <c r="W49" t="s">
        <v>79</v>
      </c>
      <c r="X49" t="s">
        <v>79</v>
      </c>
      <c r="Y49">
        <v>2</v>
      </c>
      <c r="Z49">
        <v>3</v>
      </c>
      <c r="AA49">
        <v>3</v>
      </c>
      <c r="AB49">
        <v>4</v>
      </c>
      <c r="AC49">
        <v>3</v>
      </c>
      <c r="AD49">
        <v>2</v>
      </c>
      <c r="AE49">
        <v>3</v>
      </c>
      <c r="AF49">
        <v>4</v>
      </c>
      <c r="AG49">
        <v>3</v>
      </c>
      <c r="AH49">
        <v>2</v>
      </c>
      <c r="AI49">
        <v>3</v>
      </c>
      <c r="AJ49">
        <v>4</v>
      </c>
      <c r="AK49">
        <v>2</v>
      </c>
      <c r="AL49">
        <v>3</v>
      </c>
      <c r="AM49">
        <v>3</v>
      </c>
      <c r="AN49">
        <v>4</v>
      </c>
      <c r="AO49">
        <v>3</v>
      </c>
      <c r="AP49">
        <v>2</v>
      </c>
      <c r="AQ49">
        <v>3</v>
      </c>
      <c r="AR49">
        <v>4</v>
      </c>
      <c r="AS49">
        <v>3</v>
      </c>
      <c r="AT49">
        <v>2</v>
      </c>
      <c r="AU49">
        <v>3</v>
      </c>
      <c r="AV49">
        <v>4</v>
      </c>
    </row>
    <row r="50" spans="1:52" x14ac:dyDescent="0.35">
      <c r="A50" t="str">
        <f>IF(E50='Bộ lọc Cựu SV'!$C$5, MAX($A$1:A49)+1, "")</f>
        <v/>
      </c>
      <c r="B50" s="1">
        <v>46111.728319664348</v>
      </c>
      <c r="C50" t="s">
        <v>395</v>
      </c>
      <c r="D50" t="s">
        <v>53</v>
      </c>
      <c r="E50" t="s">
        <v>396</v>
      </c>
      <c r="F50" t="s">
        <v>397</v>
      </c>
      <c r="G50" t="s">
        <v>398</v>
      </c>
      <c r="H50" t="s">
        <v>399</v>
      </c>
      <c r="I50" t="s">
        <v>400</v>
      </c>
      <c r="J50" t="s">
        <v>401</v>
      </c>
      <c r="K50" t="s">
        <v>60</v>
      </c>
      <c r="L50" t="s">
        <v>402</v>
      </c>
      <c r="M50" t="s">
        <v>61</v>
      </c>
      <c r="N50" t="s">
        <v>177</v>
      </c>
      <c r="O50" t="s">
        <v>63</v>
      </c>
      <c r="P50" t="s">
        <v>403</v>
      </c>
      <c r="Q50" t="s">
        <v>65</v>
      </c>
      <c r="R50" t="s">
        <v>66</v>
      </c>
      <c r="T50" t="s">
        <v>67</v>
      </c>
      <c r="U50" t="s">
        <v>67</v>
      </c>
      <c r="V50" t="s">
        <v>68</v>
      </c>
      <c r="W50" t="s">
        <v>68</v>
      </c>
      <c r="X50" t="s">
        <v>68</v>
      </c>
      <c r="Y50">
        <v>5</v>
      </c>
      <c r="Z50">
        <v>5</v>
      </c>
      <c r="AA50">
        <v>5</v>
      </c>
      <c r="AB50">
        <v>5</v>
      </c>
      <c r="AC50">
        <v>5</v>
      </c>
      <c r="AD50">
        <v>5</v>
      </c>
      <c r="AE50">
        <v>5</v>
      </c>
      <c r="AF50">
        <v>5</v>
      </c>
      <c r="AG50">
        <v>5</v>
      </c>
      <c r="AH50">
        <v>5</v>
      </c>
      <c r="AI50">
        <v>5</v>
      </c>
      <c r="AJ50">
        <v>5</v>
      </c>
      <c r="AK50">
        <v>4</v>
      </c>
      <c r="AL50">
        <v>5</v>
      </c>
      <c r="AM50">
        <v>5</v>
      </c>
      <c r="AN50">
        <v>5</v>
      </c>
      <c r="AO50">
        <v>5</v>
      </c>
      <c r="AP50">
        <v>5</v>
      </c>
      <c r="AQ50">
        <v>5</v>
      </c>
      <c r="AR50">
        <v>5</v>
      </c>
      <c r="AS50">
        <v>5</v>
      </c>
      <c r="AT50">
        <v>5</v>
      </c>
      <c r="AU50">
        <v>4</v>
      </c>
      <c r="AV50">
        <v>4</v>
      </c>
      <c r="AY50" t="s">
        <v>404</v>
      </c>
    </row>
    <row r="51" spans="1:52" x14ac:dyDescent="0.35">
      <c r="A51" t="str">
        <f>IF(E51='Bộ lọc Cựu SV'!$C$5, MAX($A$1:A50)+1, "")</f>
        <v/>
      </c>
      <c r="B51" s="1">
        <v>46112.264666400457</v>
      </c>
      <c r="C51" t="s">
        <v>405</v>
      </c>
      <c r="D51" t="s">
        <v>53</v>
      </c>
      <c r="E51" t="s">
        <v>54</v>
      </c>
      <c r="F51" t="s">
        <v>406</v>
      </c>
      <c r="G51" t="s">
        <v>407</v>
      </c>
      <c r="H51" t="s">
        <v>408</v>
      </c>
      <c r="I51" t="s">
        <v>409</v>
      </c>
      <c r="J51" t="s">
        <v>410</v>
      </c>
      <c r="K51" t="s">
        <v>60</v>
      </c>
      <c r="M51" t="s">
        <v>61</v>
      </c>
      <c r="N51" t="s">
        <v>62</v>
      </c>
      <c r="O51" t="s">
        <v>90</v>
      </c>
      <c r="P51" t="s">
        <v>411</v>
      </c>
      <c r="Q51" t="s">
        <v>119</v>
      </c>
      <c r="R51" t="s">
        <v>185</v>
      </c>
      <c r="S51" t="s">
        <v>179</v>
      </c>
      <c r="T51" t="s">
        <v>78</v>
      </c>
      <c r="U51" t="s">
        <v>78</v>
      </c>
      <c r="V51" t="s">
        <v>79</v>
      </c>
      <c r="W51" t="s">
        <v>85</v>
      </c>
      <c r="X51" t="s">
        <v>79</v>
      </c>
      <c r="Y51">
        <v>3</v>
      </c>
      <c r="Z51">
        <v>3</v>
      </c>
      <c r="AA51">
        <v>3</v>
      </c>
      <c r="AB51">
        <v>3</v>
      </c>
      <c r="AC51">
        <v>3</v>
      </c>
      <c r="AD51">
        <v>3</v>
      </c>
      <c r="AE51">
        <v>3</v>
      </c>
      <c r="AF51">
        <v>3</v>
      </c>
      <c r="AG51">
        <v>3</v>
      </c>
      <c r="AH51">
        <v>3</v>
      </c>
      <c r="AI51">
        <v>3</v>
      </c>
      <c r="AJ51">
        <v>3</v>
      </c>
      <c r="AK51">
        <v>4</v>
      </c>
      <c r="AL51">
        <v>4</v>
      </c>
      <c r="AM51">
        <v>4</v>
      </c>
      <c r="AN51">
        <v>4</v>
      </c>
      <c r="AO51">
        <v>4</v>
      </c>
      <c r="AP51">
        <v>4</v>
      </c>
      <c r="AQ51">
        <v>4</v>
      </c>
      <c r="AR51">
        <v>4</v>
      </c>
      <c r="AS51">
        <v>4</v>
      </c>
      <c r="AT51">
        <v>4</v>
      </c>
      <c r="AU51">
        <v>4</v>
      </c>
      <c r="AV51">
        <v>4</v>
      </c>
      <c r="AY51" t="s">
        <v>412</v>
      </c>
    </row>
    <row r="52" spans="1:52" x14ac:dyDescent="0.35">
      <c r="A52" t="str">
        <f>IF(E52='Bộ lọc Cựu SV'!$C$5, MAX($A$1:A51)+1, "")</f>
        <v/>
      </c>
      <c r="B52" s="1">
        <v>46112.476983275461</v>
      </c>
      <c r="C52" t="s">
        <v>413</v>
      </c>
      <c r="D52" t="s">
        <v>80</v>
      </c>
      <c r="E52" t="s">
        <v>239</v>
      </c>
      <c r="F52" t="s">
        <v>414</v>
      </c>
      <c r="G52" t="s">
        <v>415</v>
      </c>
      <c r="H52" t="s">
        <v>416</v>
      </c>
      <c r="I52" t="s">
        <v>417</v>
      </c>
      <c r="J52" t="s">
        <v>418</v>
      </c>
      <c r="K52" t="s">
        <v>60</v>
      </c>
      <c r="M52" t="s">
        <v>61</v>
      </c>
      <c r="N52" t="s">
        <v>62</v>
      </c>
      <c r="O52" t="s">
        <v>90</v>
      </c>
      <c r="P52" t="s">
        <v>193</v>
      </c>
      <c r="Q52" t="s">
        <v>65</v>
      </c>
      <c r="R52" t="s">
        <v>66</v>
      </c>
      <c r="T52" t="s">
        <v>67</v>
      </c>
      <c r="U52" t="s">
        <v>77</v>
      </c>
      <c r="V52" t="s">
        <v>68</v>
      </c>
      <c r="W52" t="s">
        <v>79</v>
      </c>
      <c r="X52" t="s">
        <v>68</v>
      </c>
      <c r="Y52">
        <v>4</v>
      </c>
      <c r="Z52">
        <v>4</v>
      </c>
      <c r="AA52">
        <v>5</v>
      </c>
      <c r="AB52">
        <v>4</v>
      </c>
      <c r="AC52">
        <v>4</v>
      </c>
      <c r="AD52">
        <v>5</v>
      </c>
      <c r="AE52">
        <v>5</v>
      </c>
      <c r="AF52">
        <v>4</v>
      </c>
      <c r="AG52">
        <v>5</v>
      </c>
      <c r="AH52">
        <v>5</v>
      </c>
      <c r="AI52">
        <v>4</v>
      </c>
      <c r="AJ52">
        <v>4</v>
      </c>
      <c r="AK52">
        <v>4</v>
      </c>
      <c r="AL52">
        <v>4</v>
      </c>
      <c r="AM52">
        <v>4</v>
      </c>
      <c r="AN52">
        <v>4</v>
      </c>
      <c r="AO52">
        <v>4</v>
      </c>
      <c r="AP52">
        <v>4</v>
      </c>
      <c r="AQ52">
        <v>4</v>
      </c>
      <c r="AR52">
        <v>4</v>
      </c>
      <c r="AS52">
        <v>4</v>
      </c>
      <c r="AT52">
        <v>4</v>
      </c>
      <c r="AU52">
        <v>4</v>
      </c>
      <c r="AV52">
        <v>4</v>
      </c>
    </row>
    <row r="53" spans="1:52" x14ac:dyDescent="0.35">
      <c r="A53" t="str">
        <f>IF(E53='Bộ lọc Cựu SV'!$C$5, MAX($A$1:A52)+1, "")</f>
        <v/>
      </c>
      <c r="B53" s="1">
        <v>46112.958773043982</v>
      </c>
      <c r="C53" t="s">
        <v>419</v>
      </c>
      <c r="D53" t="s">
        <v>53</v>
      </c>
      <c r="E53" t="s">
        <v>203</v>
      </c>
      <c r="F53" t="s">
        <v>420</v>
      </c>
      <c r="G53" t="s">
        <v>421</v>
      </c>
      <c r="H53" t="s">
        <v>220</v>
      </c>
      <c r="I53" t="s">
        <v>422</v>
      </c>
      <c r="J53" t="s">
        <v>423</v>
      </c>
      <c r="K53" t="s">
        <v>60</v>
      </c>
      <c r="M53" t="s">
        <v>61</v>
      </c>
      <c r="N53" t="s">
        <v>100</v>
      </c>
      <c r="O53" t="s">
        <v>129</v>
      </c>
      <c r="P53" t="s">
        <v>130</v>
      </c>
      <c r="Q53" t="s">
        <v>74</v>
      </c>
      <c r="R53" t="s">
        <v>66</v>
      </c>
      <c r="T53" t="s">
        <v>77</v>
      </c>
      <c r="U53" t="s">
        <v>77</v>
      </c>
      <c r="V53" t="s">
        <v>79</v>
      </c>
      <c r="W53" t="s">
        <v>79</v>
      </c>
      <c r="X53" t="s">
        <v>79</v>
      </c>
      <c r="Y53">
        <v>4</v>
      </c>
      <c r="Z53">
        <v>4</v>
      </c>
      <c r="AA53">
        <v>3</v>
      </c>
      <c r="AB53">
        <v>3</v>
      </c>
      <c r="AC53">
        <v>2</v>
      </c>
      <c r="AD53">
        <v>4</v>
      </c>
      <c r="AE53">
        <v>4</v>
      </c>
      <c r="AF53">
        <v>4</v>
      </c>
      <c r="AG53">
        <v>2</v>
      </c>
      <c r="AH53">
        <v>3</v>
      </c>
      <c r="AI53">
        <v>4</v>
      </c>
      <c r="AJ53">
        <v>4</v>
      </c>
      <c r="AK53">
        <v>3</v>
      </c>
      <c r="AL53">
        <v>3</v>
      </c>
      <c r="AM53">
        <v>3</v>
      </c>
      <c r="AN53">
        <v>3</v>
      </c>
      <c r="AO53">
        <v>3</v>
      </c>
      <c r="AP53">
        <v>3</v>
      </c>
      <c r="AQ53">
        <v>3</v>
      </c>
      <c r="AR53">
        <v>3</v>
      </c>
      <c r="AS53">
        <v>3</v>
      </c>
      <c r="AT53">
        <v>3</v>
      </c>
      <c r="AU53">
        <v>3</v>
      </c>
      <c r="AV53">
        <v>3</v>
      </c>
      <c r="AZ53" t="s">
        <v>424</v>
      </c>
    </row>
    <row r="54" spans="1:52" x14ac:dyDescent="0.35">
      <c r="A54" t="str">
        <f>IF(E54='Bộ lọc Cựu SV'!$C$5, MAX($A$1:A53)+1, "")</f>
        <v/>
      </c>
      <c r="B54" s="1">
        <v>46113.319957141197</v>
      </c>
      <c r="C54" t="s">
        <v>425</v>
      </c>
      <c r="D54" t="s">
        <v>80</v>
      </c>
      <c r="E54" t="s">
        <v>203</v>
      </c>
      <c r="F54" t="s">
        <v>426</v>
      </c>
      <c r="G54" t="s">
        <v>427</v>
      </c>
      <c r="H54" t="s">
        <v>428</v>
      </c>
      <c r="I54" t="s">
        <v>429</v>
      </c>
      <c r="J54" t="s">
        <v>430</v>
      </c>
      <c r="K54" t="s">
        <v>60</v>
      </c>
      <c r="L54" t="s">
        <v>431</v>
      </c>
      <c r="M54" t="s">
        <v>432</v>
      </c>
      <c r="N54" t="s">
        <v>112</v>
      </c>
      <c r="O54" t="s">
        <v>129</v>
      </c>
      <c r="P54" t="s">
        <v>193</v>
      </c>
      <c r="Q54" t="s">
        <v>74</v>
      </c>
      <c r="R54" t="s">
        <v>185</v>
      </c>
      <c r="S54" t="s">
        <v>102</v>
      </c>
      <c r="T54" t="s">
        <v>77</v>
      </c>
      <c r="U54" t="s">
        <v>77</v>
      </c>
      <c r="V54" t="s">
        <v>79</v>
      </c>
      <c r="W54" t="s">
        <v>79</v>
      </c>
      <c r="X54" t="s">
        <v>68</v>
      </c>
      <c r="Y54">
        <v>5</v>
      </c>
      <c r="Z54">
        <v>5</v>
      </c>
      <c r="AA54">
        <v>5</v>
      </c>
      <c r="AB54">
        <v>5</v>
      </c>
      <c r="AC54">
        <v>5</v>
      </c>
      <c r="AD54">
        <v>5</v>
      </c>
      <c r="AE54">
        <v>5</v>
      </c>
      <c r="AF54">
        <v>5</v>
      </c>
      <c r="AG54">
        <v>5</v>
      </c>
      <c r="AH54">
        <v>5</v>
      </c>
      <c r="AI54">
        <v>5</v>
      </c>
      <c r="AJ54">
        <v>5</v>
      </c>
      <c r="AK54">
        <v>5</v>
      </c>
      <c r="AL54">
        <v>5</v>
      </c>
      <c r="AM54">
        <v>5</v>
      </c>
      <c r="AN54">
        <v>5</v>
      </c>
      <c r="AO54">
        <v>5</v>
      </c>
      <c r="AP54">
        <v>5</v>
      </c>
      <c r="AQ54">
        <v>5</v>
      </c>
      <c r="AR54">
        <v>5</v>
      </c>
      <c r="AS54">
        <v>5</v>
      </c>
      <c r="AT54">
        <v>5</v>
      </c>
      <c r="AU54">
        <v>5</v>
      </c>
      <c r="AV54">
        <v>5</v>
      </c>
    </row>
    <row r="55" spans="1:52" x14ac:dyDescent="0.35">
      <c r="A55" t="str">
        <f>IF(E55='Bộ lọc Cựu SV'!$C$5, MAX($A$1:A54)+1, "")</f>
        <v/>
      </c>
      <c r="B55" s="1">
        <v>46113.70824255787</v>
      </c>
      <c r="C55" t="s">
        <v>433</v>
      </c>
      <c r="D55" t="s">
        <v>53</v>
      </c>
      <c r="E55" t="s">
        <v>54</v>
      </c>
      <c r="F55">
        <v>1997</v>
      </c>
      <c r="H55" t="s">
        <v>434</v>
      </c>
      <c r="I55" t="s">
        <v>435</v>
      </c>
      <c r="J55" t="s">
        <v>436</v>
      </c>
      <c r="K55" t="s">
        <v>60</v>
      </c>
      <c r="M55" t="s">
        <v>61</v>
      </c>
      <c r="N55" t="s">
        <v>100</v>
      </c>
      <c r="O55" t="s">
        <v>90</v>
      </c>
      <c r="P55" t="s">
        <v>64</v>
      </c>
      <c r="Q55" t="s">
        <v>65</v>
      </c>
      <c r="R55" t="s">
        <v>66</v>
      </c>
      <c r="T55" t="s">
        <v>77</v>
      </c>
      <c r="U55" t="s">
        <v>77</v>
      </c>
      <c r="V55" t="s">
        <v>85</v>
      </c>
      <c r="W55" t="s">
        <v>85</v>
      </c>
      <c r="X55" t="s">
        <v>85</v>
      </c>
      <c r="Y55">
        <v>3</v>
      </c>
      <c r="Z55">
        <v>2</v>
      </c>
      <c r="AA55">
        <v>2</v>
      </c>
      <c r="AB55">
        <v>2</v>
      </c>
      <c r="AC55">
        <v>2</v>
      </c>
      <c r="AD55">
        <v>2</v>
      </c>
      <c r="AE55">
        <v>2</v>
      </c>
      <c r="AF55">
        <v>2</v>
      </c>
      <c r="AG55">
        <v>2</v>
      </c>
      <c r="AH55">
        <v>2</v>
      </c>
      <c r="AI55">
        <v>3</v>
      </c>
      <c r="AJ55">
        <v>2</v>
      </c>
      <c r="AK55">
        <v>2</v>
      </c>
      <c r="AL55">
        <v>2</v>
      </c>
      <c r="AM55">
        <v>2</v>
      </c>
      <c r="AN55">
        <v>3</v>
      </c>
      <c r="AO55">
        <v>2</v>
      </c>
      <c r="AP55">
        <v>3</v>
      </c>
      <c r="AQ55">
        <v>2</v>
      </c>
      <c r="AR55">
        <v>3</v>
      </c>
      <c r="AS55">
        <v>2</v>
      </c>
      <c r="AT55">
        <v>3</v>
      </c>
      <c r="AU55">
        <v>2</v>
      </c>
      <c r="AV55">
        <v>2</v>
      </c>
      <c r="AY55" t="s">
        <v>437</v>
      </c>
      <c r="AZ55" t="s">
        <v>438</v>
      </c>
    </row>
    <row r="56" spans="1:52" x14ac:dyDescent="0.35">
      <c r="A56" t="str">
        <f>IF(E56='Bộ lọc Cựu SV'!$C$5, MAX($A$1:A55)+1, "")</f>
        <v/>
      </c>
      <c r="B56" s="1">
        <v>46115.323368576392</v>
      </c>
      <c r="C56" t="s">
        <v>439</v>
      </c>
      <c r="D56" t="s">
        <v>53</v>
      </c>
      <c r="E56" t="s">
        <v>203</v>
      </c>
      <c r="F56" t="s">
        <v>197</v>
      </c>
      <c r="G56" t="s">
        <v>440</v>
      </c>
      <c r="H56" t="s">
        <v>441</v>
      </c>
      <c r="I56" t="s">
        <v>440</v>
      </c>
      <c r="J56" t="s">
        <v>442</v>
      </c>
      <c r="K56" t="s">
        <v>60</v>
      </c>
      <c r="M56" t="s">
        <v>61</v>
      </c>
      <c r="N56" t="s">
        <v>100</v>
      </c>
      <c r="O56" t="s">
        <v>90</v>
      </c>
      <c r="P56" t="s">
        <v>130</v>
      </c>
      <c r="Q56" t="s">
        <v>74</v>
      </c>
      <c r="R56" t="s">
        <v>66</v>
      </c>
      <c r="T56" t="s">
        <v>77</v>
      </c>
      <c r="U56" t="s">
        <v>67</v>
      </c>
      <c r="V56" t="s">
        <v>79</v>
      </c>
      <c r="W56" t="s">
        <v>68</v>
      </c>
      <c r="X56" t="s">
        <v>68</v>
      </c>
      <c r="Y56">
        <v>3</v>
      </c>
      <c r="Z56">
        <v>3</v>
      </c>
      <c r="AA56">
        <v>4</v>
      </c>
      <c r="AB56">
        <v>2</v>
      </c>
      <c r="AC56">
        <v>4</v>
      </c>
      <c r="AD56">
        <v>4</v>
      </c>
      <c r="AE56">
        <v>3</v>
      </c>
      <c r="AF56">
        <v>4</v>
      </c>
      <c r="AG56">
        <v>3</v>
      </c>
      <c r="AH56">
        <v>2</v>
      </c>
      <c r="AI56">
        <v>5</v>
      </c>
      <c r="AJ56">
        <v>5</v>
      </c>
      <c r="AK56">
        <v>3</v>
      </c>
      <c r="AL56">
        <v>4</v>
      </c>
      <c r="AM56">
        <v>5</v>
      </c>
      <c r="AN56">
        <v>5</v>
      </c>
      <c r="AO56">
        <v>5</v>
      </c>
      <c r="AP56">
        <v>5</v>
      </c>
      <c r="AQ56">
        <v>4</v>
      </c>
      <c r="AR56">
        <v>4</v>
      </c>
      <c r="AS56">
        <v>5</v>
      </c>
      <c r="AT56">
        <v>5</v>
      </c>
      <c r="AU56">
        <v>3</v>
      </c>
      <c r="AV56">
        <v>3</v>
      </c>
    </row>
    <row r="57" spans="1:52" x14ac:dyDescent="0.35">
      <c r="A57" t="str">
        <f>IF(E57='Bộ lọc Cựu SV'!$C$5, MAX($A$1:A56)+1, "")</f>
        <v/>
      </c>
      <c r="B57" s="1">
        <v>46118.720711030102</v>
      </c>
      <c r="C57" t="s">
        <v>443</v>
      </c>
      <c r="D57" t="s">
        <v>53</v>
      </c>
      <c r="E57" t="s">
        <v>203</v>
      </c>
      <c r="F57">
        <v>2021</v>
      </c>
      <c r="G57" t="s">
        <v>444</v>
      </c>
      <c r="H57" t="s">
        <v>445</v>
      </c>
      <c r="I57" t="s">
        <v>444</v>
      </c>
      <c r="J57" t="s">
        <v>446</v>
      </c>
      <c r="K57" t="s">
        <v>60</v>
      </c>
      <c r="M57" t="s">
        <v>61</v>
      </c>
      <c r="N57" t="s">
        <v>447</v>
      </c>
      <c r="O57" t="s">
        <v>129</v>
      </c>
      <c r="P57" t="s">
        <v>130</v>
      </c>
      <c r="Q57" t="s">
        <v>74</v>
      </c>
      <c r="R57" t="s">
        <v>75</v>
      </c>
      <c r="S57" t="s">
        <v>102</v>
      </c>
      <c r="T57" t="s">
        <v>67</v>
      </c>
      <c r="U57" t="s">
        <v>67</v>
      </c>
      <c r="V57" t="s">
        <v>68</v>
      </c>
      <c r="W57" t="s">
        <v>68</v>
      </c>
      <c r="X57" t="s">
        <v>68</v>
      </c>
      <c r="Y57">
        <v>3</v>
      </c>
      <c r="Z57">
        <v>3</v>
      </c>
      <c r="AA57">
        <v>3</v>
      </c>
      <c r="AB57">
        <v>3</v>
      </c>
      <c r="AC57">
        <v>3</v>
      </c>
      <c r="AD57">
        <v>3</v>
      </c>
      <c r="AE57">
        <v>2</v>
      </c>
      <c r="AF57">
        <v>2</v>
      </c>
      <c r="AG57">
        <v>3</v>
      </c>
      <c r="AH57">
        <v>3</v>
      </c>
      <c r="AI57">
        <v>4</v>
      </c>
      <c r="AJ57">
        <v>4</v>
      </c>
      <c r="AK57">
        <v>4</v>
      </c>
      <c r="AL57">
        <v>4</v>
      </c>
      <c r="AM57">
        <v>4</v>
      </c>
      <c r="AN57">
        <v>4</v>
      </c>
      <c r="AO57">
        <v>4</v>
      </c>
      <c r="AP57">
        <v>4</v>
      </c>
      <c r="AQ57">
        <v>4</v>
      </c>
      <c r="AR57">
        <v>4</v>
      </c>
      <c r="AS57">
        <v>4</v>
      </c>
      <c r="AT57">
        <v>4</v>
      </c>
      <c r="AU57">
        <v>4</v>
      </c>
      <c r="AV57">
        <v>4</v>
      </c>
      <c r="AW57" t="s">
        <v>448</v>
      </c>
      <c r="AX57" t="s">
        <v>449</v>
      </c>
      <c r="AY57" t="s">
        <v>450</v>
      </c>
    </row>
    <row r="58" spans="1:52" x14ac:dyDescent="0.35">
      <c r="A58" t="str">
        <f>IF(E58='Bộ lọc Cựu SV'!$C$5, MAX($A$1:A57)+1, "")</f>
        <v/>
      </c>
      <c r="B58" s="1">
        <v>46118.97915579861</v>
      </c>
      <c r="C58" t="s">
        <v>451</v>
      </c>
      <c r="D58" t="s">
        <v>53</v>
      </c>
      <c r="E58" t="s">
        <v>81</v>
      </c>
      <c r="F58" t="s">
        <v>452</v>
      </c>
      <c r="J58" t="s">
        <v>453</v>
      </c>
      <c r="M58" t="s">
        <v>432</v>
      </c>
      <c r="N58" t="s">
        <v>347</v>
      </c>
      <c r="O58" t="s">
        <v>129</v>
      </c>
      <c r="P58" t="s">
        <v>193</v>
      </c>
      <c r="Q58" t="s">
        <v>119</v>
      </c>
      <c r="R58" t="s">
        <v>92</v>
      </c>
      <c r="S58" t="s">
        <v>179</v>
      </c>
      <c r="T58" t="s">
        <v>67</v>
      </c>
      <c r="U58" t="s">
        <v>77</v>
      </c>
      <c r="V58" t="s">
        <v>68</v>
      </c>
      <c r="W58" t="s">
        <v>79</v>
      </c>
      <c r="X58" t="s">
        <v>68</v>
      </c>
      <c r="Y58">
        <v>5</v>
      </c>
      <c r="Z58">
        <v>3</v>
      </c>
      <c r="AA58">
        <v>4</v>
      </c>
      <c r="AB58">
        <v>4</v>
      </c>
      <c r="AC58">
        <v>4</v>
      </c>
      <c r="AD58">
        <v>3</v>
      </c>
      <c r="AE58">
        <v>2</v>
      </c>
      <c r="AF58">
        <v>3</v>
      </c>
      <c r="AG58">
        <v>3</v>
      </c>
      <c r="AH58">
        <v>4</v>
      </c>
      <c r="AI58">
        <v>3</v>
      </c>
      <c r="AJ58">
        <v>5</v>
      </c>
      <c r="AK58">
        <v>4</v>
      </c>
      <c r="AL58">
        <v>4</v>
      </c>
      <c r="AM58">
        <v>4</v>
      </c>
      <c r="AN58">
        <v>4</v>
      </c>
      <c r="AO58">
        <v>4</v>
      </c>
      <c r="AP58">
        <v>4</v>
      </c>
      <c r="AQ58">
        <v>2</v>
      </c>
      <c r="AR58">
        <v>4</v>
      </c>
      <c r="AS58">
        <v>4</v>
      </c>
      <c r="AT58">
        <v>4</v>
      </c>
      <c r="AU58">
        <v>4</v>
      </c>
      <c r="AV58">
        <v>4</v>
      </c>
      <c r="AY58" t="s">
        <v>454</v>
      </c>
    </row>
    <row r="59" spans="1:52" x14ac:dyDescent="0.35">
      <c r="A59" t="str">
        <f>IF(E59='Bộ lọc Cựu SV'!$C$5, MAX($A$1:A58)+1, "")</f>
        <v/>
      </c>
      <c r="B59" s="1">
        <v>46122.471564548607</v>
      </c>
      <c r="C59" t="s">
        <v>455</v>
      </c>
      <c r="D59" t="s">
        <v>53</v>
      </c>
      <c r="E59" t="s">
        <v>54</v>
      </c>
      <c r="F59" t="s">
        <v>456</v>
      </c>
      <c r="J59" t="s">
        <v>457</v>
      </c>
      <c r="M59" t="s">
        <v>61</v>
      </c>
      <c r="N59" t="s">
        <v>100</v>
      </c>
      <c r="O59" t="s">
        <v>90</v>
      </c>
      <c r="P59" t="s">
        <v>193</v>
      </c>
      <c r="Q59" t="s">
        <v>101</v>
      </c>
      <c r="R59" t="s">
        <v>75</v>
      </c>
      <c r="U59" t="s">
        <v>67</v>
      </c>
      <c r="V59" t="s">
        <v>68</v>
      </c>
      <c r="W59" t="s">
        <v>68</v>
      </c>
      <c r="X59" t="s">
        <v>68</v>
      </c>
      <c r="Y59">
        <v>4</v>
      </c>
      <c r="Z59">
        <v>4</v>
      </c>
      <c r="AA59">
        <v>4</v>
      </c>
      <c r="AB59">
        <v>5</v>
      </c>
      <c r="AC59">
        <v>4</v>
      </c>
      <c r="AD59">
        <v>4</v>
      </c>
      <c r="AE59">
        <v>4</v>
      </c>
      <c r="AF59">
        <v>4</v>
      </c>
      <c r="AG59">
        <v>4</v>
      </c>
      <c r="AH59">
        <v>4</v>
      </c>
      <c r="AI59">
        <v>4</v>
      </c>
      <c r="AJ59">
        <v>4</v>
      </c>
      <c r="AK59">
        <v>3</v>
      </c>
      <c r="AL59">
        <v>3</v>
      </c>
      <c r="AM59">
        <v>3</v>
      </c>
      <c r="AN59">
        <v>3</v>
      </c>
      <c r="AO59">
        <v>3</v>
      </c>
      <c r="AP59">
        <v>3</v>
      </c>
      <c r="AQ59">
        <v>3</v>
      </c>
      <c r="AR59">
        <v>3</v>
      </c>
      <c r="AS59">
        <v>3</v>
      </c>
      <c r="AT59">
        <v>3</v>
      </c>
      <c r="AU59">
        <v>3</v>
      </c>
      <c r="AV59">
        <v>3</v>
      </c>
      <c r="AX59" t="s">
        <v>458</v>
      </c>
    </row>
    <row r="60" spans="1:52" x14ac:dyDescent="0.35">
      <c r="A60" t="str">
        <f>IF(E60='Bộ lọc Cựu SV'!$C$5, MAX($A$1:A59)+1, "")</f>
        <v/>
      </c>
      <c r="B60" s="1">
        <v>46122.627845000003</v>
      </c>
      <c r="J60" t="s">
        <v>459</v>
      </c>
    </row>
    <row r="61" spans="1:52" x14ac:dyDescent="0.35">
      <c r="A61">
        <f>IF(E61='Bộ lọc Cựu SV'!$C$5, MAX($A$1:A60)+1, "")</f>
        <v>18</v>
      </c>
      <c r="B61" s="1">
        <v>46128.576000706023</v>
      </c>
      <c r="C61" t="s">
        <v>460</v>
      </c>
      <c r="D61" t="s">
        <v>53</v>
      </c>
      <c r="E61" t="s">
        <v>87</v>
      </c>
      <c r="F61">
        <v>2014</v>
      </c>
      <c r="G61" t="s">
        <v>461</v>
      </c>
      <c r="H61" t="s">
        <v>462</v>
      </c>
      <c r="I61" t="s">
        <v>463</v>
      </c>
      <c r="J61" t="s">
        <v>464</v>
      </c>
      <c r="K61" t="s">
        <v>60</v>
      </c>
      <c r="M61" t="s">
        <v>61</v>
      </c>
      <c r="N61" t="s">
        <v>465</v>
      </c>
      <c r="O61" t="s">
        <v>90</v>
      </c>
      <c r="P61" t="s">
        <v>466</v>
      </c>
      <c r="Q61" t="s">
        <v>65</v>
      </c>
      <c r="R61" t="s">
        <v>92</v>
      </c>
      <c r="T61" t="s">
        <v>67</v>
      </c>
      <c r="U61" t="s">
        <v>67</v>
      </c>
      <c r="V61" t="s">
        <v>68</v>
      </c>
      <c r="W61" t="s">
        <v>68</v>
      </c>
      <c r="X61" t="s">
        <v>68</v>
      </c>
      <c r="Y61">
        <v>4</v>
      </c>
      <c r="Z61">
        <v>4</v>
      </c>
      <c r="AA61">
        <v>5</v>
      </c>
      <c r="AB61">
        <v>3</v>
      </c>
      <c r="AC61">
        <v>4</v>
      </c>
      <c r="AD61">
        <v>4</v>
      </c>
      <c r="AE61">
        <v>5</v>
      </c>
      <c r="AF61">
        <v>5</v>
      </c>
      <c r="AG61">
        <v>5</v>
      </c>
      <c r="AH61">
        <v>5</v>
      </c>
      <c r="AI61">
        <v>5</v>
      </c>
      <c r="AJ61">
        <v>4</v>
      </c>
      <c r="AK61">
        <v>4</v>
      </c>
      <c r="AL61">
        <v>4</v>
      </c>
      <c r="AM61">
        <v>4</v>
      </c>
      <c r="AN61">
        <v>4</v>
      </c>
      <c r="AO61">
        <v>4</v>
      </c>
      <c r="AP61">
        <v>4</v>
      </c>
      <c r="AQ61">
        <v>5</v>
      </c>
      <c r="AR61">
        <v>5</v>
      </c>
      <c r="AS61">
        <v>5</v>
      </c>
      <c r="AT61">
        <v>5</v>
      </c>
      <c r="AU61">
        <v>4</v>
      </c>
      <c r="AV61">
        <v>4</v>
      </c>
    </row>
    <row r="62" spans="1:52" x14ac:dyDescent="0.35">
      <c r="A62" t="str">
        <f>IF(E62='Bộ lọc Cựu SV'!$C$5, MAX($A$1:A61)+1, "")</f>
        <v/>
      </c>
      <c r="B62" s="1">
        <v>46188.674205625</v>
      </c>
      <c r="C62" t="s">
        <v>467</v>
      </c>
      <c r="D62" t="s">
        <v>53</v>
      </c>
      <c r="E62" t="s">
        <v>396</v>
      </c>
      <c r="F62" t="s">
        <v>468</v>
      </c>
      <c r="G62" t="s">
        <v>469</v>
      </c>
      <c r="H62" t="s">
        <v>470</v>
      </c>
      <c r="I62" t="s">
        <v>471</v>
      </c>
      <c r="J62" t="s">
        <v>472</v>
      </c>
      <c r="K62" t="s">
        <v>60</v>
      </c>
      <c r="M62" t="s">
        <v>61</v>
      </c>
      <c r="O62" t="s">
        <v>90</v>
      </c>
      <c r="P62" t="s">
        <v>91</v>
      </c>
      <c r="Q62" t="s">
        <v>65</v>
      </c>
      <c r="R62" t="s">
        <v>92</v>
      </c>
      <c r="S62" t="s">
        <v>179</v>
      </c>
      <c r="T62" t="s">
        <v>77</v>
      </c>
      <c r="U62" t="s">
        <v>78</v>
      </c>
      <c r="V62" t="s">
        <v>79</v>
      </c>
      <c r="W62" t="s">
        <v>79</v>
      </c>
      <c r="X62" t="s">
        <v>79</v>
      </c>
      <c r="Y62">
        <v>3</v>
      </c>
      <c r="Z62">
        <v>3</v>
      </c>
      <c r="AA62">
        <v>3</v>
      </c>
      <c r="AB62">
        <v>3</v>
      </c>
      <c r="AC62">
        <v>4</v>
      </c>
      <c r="AD62">
        <v>4</v>
      </c>
      <c r="AE62">
        <v>4</v>
      </c>
      <c r="AF62">
        <v>3</v>
      </c>
      <c r="AG62">
        <v>3</v>
      </c>
      <c r="AH62">
        <v>3</v>
      </c>
      <c r="AI62">
        <v>4</v>
      </c>
      <c r="AJ62">
        <v>3</v>
      </c>
      <c r="AK62">
        <v>3</v>
      </c>
      <c r="AL62">
        <v>3</v>
      </c>
      <c r="AM62">
        <v>3</v>
      </c>
      <c r="AN62">
        <v>3</v>
      </c>
      <c r="AO62">
        <v>3</v>
      </c>
      <c r="AP62">
        <v>3</v>
      </c>
      <c r="AQ62">
        <v>3</v>
      </c>
      <c r="AR62">
        <v>3</v>
      </c>
      <c r="AS62">
        <v>3</v>
      </c>
      <c r="AT62">
        <v>3</v>
      </c>
      <c r="AU62">
        <v>3</v>
      </c>
      <c r="AV62">
        <v>3</v>
      </c>
      <c r="AW62" t="s">
        <v>473</v>
      </c>
    </row>
    <row r="63" spans="1:52" x14ac:dyDescent="0.35">
      <c r="A63" t="str">
        <f>IF(E63='Bộ lọc Cựu SV'!$C$5, MAX($A$1:A62)+1, "")</f>
        <v/>
      </c>
      <c r="B63" s="1">
        <v>46188.75170685185</v>
      </c>
      <c r="C63" t="s">
        <v>474</v>
      </c>
      <c r="D63" t="s">
        <v>53</v>
      </c>
      <c r="E63" t="s">
        <v>396</v>
      </c>
      <c r="F63" t="s">
        <v>475</v>
      </c>
      <c r="G63" t="s">
        <v>476</v>
      </c>
      <c r="H63" t="s">
        <v>477</v>
      </c>
      <c r="I63" t="s">
        <v>478</v>
      </c>
      <c r="J63" t="s">
        <v>479</v>
      </c>
      <c r="K63" t="s">
        <v>60</v>
      </c>
      <c r="M63" t="s">
        <v>61</v>
      </c>
      <c r="N63" t="s">
        <v>100</v>
      </c>
      <c r="O63" t="s">
        <v>90</v>
      </c>
      <c r="P63" t="s">
        <v>91</v>
      </c>
      <c r="Q63" t="s">
        <v>119</v>
      </c>
      <c r="R63" t="s">
        <v>66</v>
      </c>
      <c r="S63" t="s">
        <v>179</v>
      </c>
      <c r="T63" t="s">
        <v>77</v>
      </c>
      <c r="U63" t="s">
        <v>77</v>
      </c>
      <c r="V63" t="s">
        <v>79</v>
      </c>
      <c r="W63" t="s">
        <v>79</v>
      </c>
      <c r="X63" t="s">
        <v>79</v>
      </c>
      <c r="Y63">
        <v>4</v>
      </c>
      <c r="Z63">
        <v>4</v>
      </c>
      <c r="AA63">
        <v>4</v>
      </c>
      <c r="AB63">
        <v>4</v>
      </c>
      <c r="AC63">
        <v>4</v>
      </c>
      <c r="AD63">
        <v>4</v>
      </c>
      <c r="AE63">
        <v>4</v>
      </c>
      <c r="AF63">
        <v>4</v>
      </c>
      <c r="AG63">
        <v>4</v>
      </c>
      <c r="AH63">
        <v>4</v>
      </c>
      <c r="AI63">
        <v>4</v>
      </c>
      <c r="AJ63">
        <v>4</v>
      </c>
      <c r="AK63">
        <v>3</v>
      </c>
      <c r="AL63">
        <v>3</v>
      </c>
      <c r="AM63">
        <v>3</v>
      </c>
      <c r="AN63">
        <v>3</v>
      </c>
      <c r="AO63">
        <v>3</v>
      </c>
      <c r="AP63">
        <v>3</v>
      </c>
      <c r="AQ63">
        <v>3</v>
      </c>
      <c r="AR63">
        <v>3</v>
      </c>
      <c r="AS63">
        <v>3</v>
      </c>
      <c r="AT63">
        <v>3</v>
      </c>
      <c r="AU63">
        <v>3</v>
      </c>
      <c r="AV63">
        <v>3</v>
      </c>
      <c r="AW63" t="s">
        <v>480</v>
      </c>
      <c r="AX63" t="s">
        <v>139</v>
      </c>
      <c r="AY63" t="s">
        <v>481</v>
      </c>
      <c r="AZ63" t="s">
        <v>120</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I238"/>
  <sheetViews>
    <sheetView showGridLines="0" workbookViewId="0"/>
  </sheetViews>
  <sheetFormatPr defaultRowHeight="14.5" x14ac:dyDescent="0.35"/>
  <cols>
    <col min="1" max="1" width="12" customWidth="1"/>
    <col min="2" max="2" width="35" customWidth="1"/>
    <col min="3" max="3" width="30" customWidth="1"/>
    <col min="4" max="4" width="25" customWidth="1"/>
    <col min="5" max="5" width="30" customWidth="1"/>
    <col min="6" max="7" width="86" customWidth="1"/>
    <col min="8" max="9" width="12" customWidth="1"/>
  </cols>
  <sheetData>
    <row r="2" spans="2:9" ht="25" x14ac:dyDescent="0.7">
      <c r="B2" s="2" t="s">
        <v>482</v>
      </c>
    </row>
    <row r="3" spans="2:9" ht="16" x14ac:dyDescent="0.45">
      <c r="B3" s="3" t="s">
        <v>483</v>
      </c>
    </row>
    <row r="5" spans="2:9" ht="16" x14ac:dyDescent="0.45">
      <c r="B5" s="4" t="s">
        <v>484</v>
      </c>
      <c r="C5" t="s">
        <v>87</v>
      </c>
    </row>
    <row r="7" spans="2:9" x14ac:dyDescent="0.35">
      <c r="B7" s="25">
        <f>COUNTIF(Data_Source!$E$2:$E$1000, $C$5)</f>
        <v>18</v>
      </c>
      <c r="C7" s="26"/>
      <c r="D7" s="25">
        <f>COUNTIFS(Data_Source!$E$2:$E$1000, $C$5, Data_Source!$K$2:$K$1000, "*Đang có việc làm*")</f>
        <v>18</v>
      </c>
      <c r="E7" s="26"/>
      <c r="F7" s="27">
        <f>IFERROR(D7/B7, 0)</f>
        <v>1</v>
      </c>
      <c r="G7" s="26"/>
      <c r="H7" s="27">
        <f>IFERROR(COUNTIFS(Data_Source!$E$2:$E$1000, $C$5, Data_Source!$R$2:$R$1000, "Đúng chuyên ngành đào tạo")/D7, 0)</f>
        <v>0.44444444444444442</v>
      </c>
      <c r="I7" s="26"/>
    </row>
    <row r="8" spans="2:9" x14ac:dyDescent="0.35">
      <c r="B8" s="28" t="s">
        <v>485</v>
      </c>
      <c r="C8" s="26"/>
      <c r="D8" s="28" t="s">
        <v>486</v>
      </c>
      <c r="E8" s="26"/>
      <c r="F8" s="28" t="s">
        <v>487</v>
      </c>
      <c r="G8" s="26"/>
      <c r="H8" s="28" t="s">
        <v>488</v>
      </c>
      <c r="I8" s="26"/>
    </row>
    <row r="10" spans="2:9" ht="17.5" x14ac:dyDescent="0.45">
      <c r="B10" s="5" t="s">
        <v>489</v>
      </c>
      <c r="E10" s="5" t="s">
        <v>490</v>
      </c>
    </row>
    <row r="12" spans="2:9" ht="16" x14ac:dyDescent="0.45">
      <c r="B12" s="6" t="s">
        <v>491</v>
      </c>
      <c r="C12" s="7" t="s">
        <v>492</v>
      </c>
      <c r="E12" s="7" t="s">
        <v>493</v>
      </c>
      <c r="F12" s="7" t="s">
        <v>494</v>
      </c>
      <c r="G12" s="7" t="s">
        <v>495</v>
      </c>
    </row>
    <row r="13" spans="2:9" ht="16" x14ac:dyDescent="0.45">
      <c r="B13" s="8" t="s">
        <v>90</v>
      </c>
      <c r="C13" s="9">
        <f>COUNTIFS(Data_Source!$E$2:$E$1000, $C$5, Data_Source!$O$2:$O$1000, "Doanh nghiệp tư nhân, cổ phẩn, TNHH")</f>
        <v>12</v>
      </c>
      <c r="E13" s="10" t="s">
        <v>496</v>
      </c>
      <c r="F13" s="11">
        <f>IFERROR(AVERAGEIFS(Data_Source!$Z$2:$Z$1000, Data_Source!$E$2:$E$1000, $C$5), 0)</f>
        <v>3.5882352941176472</v>
      </c>
      <c r="G13" s="11">
        <f>IFERROR(AVERAGEIFS(Data_Source!$AL$2:$AL$1000, Data_Source!$E$2:$E$1000, $C$5), 0)</f>
        <v>3.9411764705882355</v>
      </c>
    </row>
    <row r="14" spans="2:9" ht="16" x14ac:dyDescent="0.45">
      <c r="B14" s="12" t="s">
        <v>129</v>
      </c>
      <c r="C14" s="13">
        <f>COUNTIFS(Data_Source!$E$2:$E$1000, $C$5, Data_Source!$O$2:$O$1000, "Tổ chức/doanh nghiệp nước ngoài, liên doanh")</f>
        <v>5</v>
      </c>
      <c r="E14" s="14" t="s">
        <v>497</v>
      </c>
      <c r="F14" s="15">
        <f>IFERROR(AVERAGEIFS(Data_Source!$AA$2:$AA$1000, Data_Source!$E$2:$E$1000, $C$5), 0)</f>
        <v>4.2352941176470589</v>
      </c>
      <c r="G14" s="15">
        <f>IFERROR(AVERAGEIFS(Data_Source!$AM$2:$AM$1000, Data_Source!$E$2:$E$1000, $C$5), 0)</f>
        <v>4.4117647058823533</v>
      </c>
    </row>
    <row r="15" spans="2:9" ht="16" x14ac:dyDescent="0.45">
      <c r="B15" s="8" t="s">
        <v>63</v>
      </c>
      <c r="C15" s="9">
        <f>COUNTIFS(Data_Source!$E$2:$E$1000, $C$5, Data_Source!$O$2:$O$1000, "Trường học, viện nghiên cứu")</f>
        <v>0</v>
      </c>
      <c r="E15" s="10" t="s">
        <v>498</v>
      </c>
      <c r="F15" s="11">
        <f>IFERROR(AVERAGEIFS(Data_Source!$AB$2:$AB$1000, Data_Source!$E$2:$E$1000, $C$5), 0)</f>
        <v>4</v>
      </c>
      <c r="G15" s="11">
        <f>IFERROR(AVERAGEIFS(Data_Source!$AN$2:$AN$1000, Data_Source!$E$2:$E$1000, $C$5), 0)</f>
        <v>4.4117647058823533</v>
      </c>
    </row>
    <row r="16" spans="2:9" ht="16" x14ac:dyDescent="0.45">
      <c r="B16" s="12" t="s">
        <v>178</v>
      </c>
      <c r="C16" s="13">
        <f>COUNTIFS(Data_Source!$E$2:$E$1000, $C$5, Data_Source!$O$2:$O$1000, "Cơ quan/doanh nghiệp nhà nước")</f>
        <v>1</v>
      </c>
      <c r="E16" s="14" t="s">
        <v>499</v>
      </c>
      <c r="F16" s="15">
        <f>IFERROR(AVERAGEIFS(Data_Source!$AC$2:$AC$1000, Data_Source!$E$2:$E$1000, $C$5), 0)</f>
        <v>3.8235294117647061</v>
      </c>
      <c r="G16" s="15">
        <f>IFERROR(AVERAGEIFS(Data_Source!$AO$2:$AO$1000, Data_Source!$E$2:$E$1000, $C$5), 0)</f>
        <v>4.2352941176470589</v>
      </c>
    </row>
    <row r="17" spans="2:7" ht="16" x14ac:dyDescent="0.45">
      <c r="B17" s="8" t="s">
        <v>250</v>
      </c>
      <c r="C17" s="9">
        <f>COUNTIFS(Data_Source!$E$2:$E$1000, $C$5, Data_Source!$O$2:$O$1000, "Cá nhân")</f>
        <v>0</v>
      </c>
      <c r="E17" s="10" t="s">
        <v>500</v>
      </c>
      <c r="F17" s="11">
        <f>IFERROR(AVERAGEIFS(Data_Source!$AD$2:$AD$1000, Data_Source!$E$2:$E$1000, $C$5), 0)</f>
        <v>3.8235294117647061</v>
      </c>
      <c r="G17" s="11">
        <f>IFERROR(AVERAGEIFS(Data_Source!$AP$2:$AP$1000, Data_Source!$E$2:$E$1000, $C$5), 0)</f>
        <v>4.2352941176470589</v>
      </c>
    </row>
    <row r="18" spans="2:7" ht="16" x14ac:dyDescent="0.35">
      <c r="E18" s="14" t="s">
        <v>501</v>
      </c>
      <c r="F18" s="15">
        <f>IFERROR(AVERAGEIFS(Data_Source!$AE$2:$AE$1000, Data_Source!$E$2:$E$1000, $C$5), 0)</f>
        <v>4.4117647058823533</v>
      </c>
      <c r="G18" s="15">
        <f>IFERROR(AVERAGEIFS(Data_Source!$AQ$2:$AQ$1000, Data_Source!$E$2:$E$1000, $C$5), 0)</f>
        <v>4.4705882352941178</v>
      </c>
    </row>
    <row r="19" spans="2:7" ht="16" x14ac:dyDescent="0.45">
      <c r="B19" s="6" t="s">
        <v>502</v>
      </c>
      <c r="C19" s="7" t="s">
        <v>492</v>
      </c>
      <c r="E19" s="10" t="s">
        <v>503</v>
      </c>
      <c r="F19" s="11">
        <f>IFERROR(AVERAGEIFS(Data_Source!$AF$2:$AF$1000, Data_Source!$E$2:$E$1000, $C$5), 0)</f>
        <v>4.2941176470588234</v>
      </c>
      <c r="G19" s="11">
        <f>IFERROR(AVERAGEIFS(Data_Source!$AR$2:$AR$1000, Data_Source!$E$2:$E$1000, $C$5), 0)</f>
        <v>4.4705882352941178</v>
      </c>
    </row>
    <row r="20" spans="2:7" ht="16" x14ac:dyDescent="0.45">
      <c r="B20" s="8" t="s">
        <v>165</v>
      </c>
      <c r="C20" s="9">
        <f>COUNTIFS(Data_Source!$E$2:$E$1000, $C$5, Data_Source!$Q$2:$Q$1000, "Dưới 6 triệu")</f>
        <v>0</v>
      </c>
      <c r="E20" s="14" t="s">
        <v>504</v>
      </c>
      <c r="F20" s="15">
        <f>IFERROR(AVERAGEIFS(Data_Source!$AG$2:$AG$1000, Data_Source!$E$2:$E$1000, $C$5), 0)</f>
        <v>4.2941176470588234</v>
      </c>
      <c r="G20" s="15">
        <f>IFERROR(AVERAGEIFS(Data_Source!$AS$2:$AS$1000, Data_Source!$E$2:$E$1000, $C$5), 0)</f>
        <v>4.4705882352941178</v>
      </c>
    </row>
    <row r="21" spans="2:7" ht="16" x14ac:dyDescent="0.45">
      <c r="B21" s="12" t="s">
        <v>74</v>
      </c>
      <c r="C21" s="13">
        <f>COUNTIFS(Data_Source!$E$2:$E$1000, $C$5, Data_Source!$Q$2:$Q$1000, "Từ 6 - 10 triệu")</f>
        <v>0</v>
      </c>
      <c r="E21" s="10" t="s">
        <v>505</v>
      </c>
      <c r="F21" s="11">
        <f>IFERROR(AVERAGEIFS(Data_Source!$AH$2:$AH$1000, Data_Source!$E$2:$E$1000, $C$5), 0)</f>
        <v>4.1764705882352944</v>
      </c>
      <c r="G21" s="11">
        <f>IFERROR(AVERAGEIFS(Data_Source!$AT$2:$AT$1000, Data_Source!$E$2:$E$1000, $C$5), 0)</f>
        <v>4.3529411764705879</v>
      </c>
    </row>
    <row r="22" spans="2:7" ht="16" x14ac:dyDescent="0.45">
      <c r="B22" s="8" t="s">
        <v>101</v>
      </c>
      <c r="C22" s="9">
        <f>COUNTIFS(Data_Source!$E$2:$E$1000, $C$5, Data_Source!$Q$2:$Q$1000, "Từ 10 - 15 triệu")</f>
        <v>8</v>
      </c>
      <c r="E22" s="14" t="s">
        <v>506</v>
      </c>
      <c r="F22" s="15">
        <f>IFERROR(AVERAGEIFS(Data_Source!$AI$2:$AI$1000, Data_Source!$E$2:$E$1000, $C$5), 0)</f>
        <v>3.8235294117647061</v>
      </c>
      <c r="G22" s="15">
        <f>IFERROR(AVERAGEIFS(Data_Source!$AU$2:$AU$1000, Data_Source!$E$2:$E$1000, $C$5), 0)</f>
        <v>4.1764705882352944</v>
      </c>
    </row>
    <row r="23" spans="2:7" ht="16" x14ac:dyDescent="0.45">
      <c r="B23" s="12" t="s">
        <v>65</v>
      </c>
      <c r="C23" s="13">
        <f>COUNTIFS(Data_Source!$E$2:$E$1000, $C$5, Data_Source!$Q$2:$Q$1000, "Từ 15 - 30 triệu")</f>
        <v>8</v>
      </c>
      <c r="E23" s="10" t="s">
        <v>507</v>
      </c>
      <c r="F23" s="11">
        <f>IFERROR(AVERAGEIFS(Data_Source!$AJ$2:$AJ$1000, Data_Source!$E$2:$E$1000, $C$5), 0)</f>
        <v>3.875</v>
      </c>
      <c r="G23" s="11">
        <f>IFERROR(AVERAGEIFS(Data_Source!$AV$2:$AV$1000, Data_Source!$E$2:$E$1000, $C$5), 0)</f>
        <v>4.2941176470588234</v>
      </c>
    </row>
    <row r="24" spans="2:7" ht="16" x14ac:dyDescent="0.45">
      <c r="B24" s="8" t="s">
        <v>119</v>
      </c>
      <c r="C24" s="9">
        <f>COUNTIFS(Data_Source!$E$2:$E$1000, $C$5, Data_Source!$Q$2:$Q$1000, "Trên 30 triệu")</f>
        <v>2</v>
      </c>
      <c r="E24" s="14" t="s">
        <v>508</v>
      </c>
      <c r="F24" s="15">
        <f>IFERROR(AVERAGEIFS(Data_Source!$AK$2:$AK$1000, Data_Source!$E$2:$E$1000, $C$5), 0)</f>
        <v>4.2941176470588234</v>
      </c>
      <c r="G24" s="15">
        <f>IFERROR(AVERAGEIFS(Data_Source!$AW$2:$AW$1000, Data_Source!$E$2:$E$1000, $C$5), 0)</f>
        <v>0</v>
      </c>
    </row>
    <row r="27" spans="2:7" ht="17.5" x14ac:dyDescent="0.45">
      <c r="B27" s="5" t="s">
        <v>509</v>
      </c>
    </row>
    <row r="29" spans="2:7" ht="24" customHeight="1" x14ac:dyDescent="0.35">
      <c r="B29" s="22" t="str">
        <f>IF(ISERROR(MATCH(1, Data_Source!$A$2:$A$1000, 0)), "", "★ CỰU SINH VIÊN #1: " &amp; IFERROR(VLOOKUP(1, Data_Source!$A$2:$AZ$1000, 3, FALSE) &amp; "", ""))</f>
        <v>★ CỰU SINH VIÊN #1: LÊ QUANG NGỌC</v>
      </c>
      <c r="C29" s="23"/>
      <c r="D29" s="23"/>
      <c r="E29" s="23"/>
    </row>
    <row r="30" spans="2:7" ht="20" customHeight="1" x14ac:dyDescent="0.35">
      <c r="B30" s="16" t="str">
        <f>IF($B$29="","", "Khóa đào tạo:")</f>
        <v>Khóa đào tạo:</v>
      </c>
      <c r="C30" s="16" t="str">
        <f>IFERROR(VLOOKUP(1, Data_Source!$A$2:$AZ$1000, 6, FALSE) &amp; "", "")</f>
        <v>DH12TD</v>
      </c>
      <c r="D30" s="16" t="str">
        <f>IF($B$29="","", "Lĩnh vực công tác:")</f>
        <v>Lĩnh vực công tác:</v>
      </c>
      <c r="E30" s="16" t="str">
        <f>IFERROR(VLOOKUP(1, Data_Source!$A$2:$AZ$1000, 10, FALSE) &amp; "", "")</f>
        <v>CÔNG TY TNHH KỸ THUẬT HOÀNG TÂM</v>
      </c>
    </row>
    <row r="31" spans="2:7" ht="20" customHeight="1" x14ac:dyDescent="0.35">
      <c r="B31" s="16" t="str">
        <f>IF($B$29="","", "Vị trí / Thu nhập:")</f>
        <v>Vị trí / Thu nhập:</v>
      </c>
      <c r="C31" s="16" t="str">
        <f>IF($B$29="","", IFERROR(VLOOKUP(1, Data_Source!$A$2:$AZ$1000, 16, FALSE), "") &amp; " / " &amp; IFERROR(VLOOKUP(1, Data_Source!$A$2:$AZ$1000, 17, FALSE), ""))</f>
        <v>Kinh doanh, bán hàng kỹ thuật / Từ 15 - 30 triệu</v>
      </c>
      <c r="D31" s="16" t="str">
        <f>IF($B$29="","", "Đúng chuyên ngành:")</f>
        <v>Đúng chuyên ngành:</v>
      </c>
      <c r="E31" s="17" t="str">
        <f>IFERROR(VLOOKUP(1, Data_Source!$A$2:$AZ$1000, 18, FALSE) &amp; "", "")</f>
        <v>Đúng ngành rộng</v>
      </c>
    </row>
    <row r="32" spans="2:7" ht="20" customHeight="1" x14ac:dyDescent="0.35">
      <c r="B32" s="22" t="str">
        <f>IF($B$29="","", "Nội dung góp ý khác:")</f>
        <v>Nội dung góp ý khác:</v>
      </c>
      <c r="C32" s="23"/>
      <c r="D32" s="23"/>
      <c r="E32" s="23"/>
    </row>
    <row r="33" spans="2:5" ht="40" customHeight="1" x14ac:dyDescent="0.35">
      <c r="B33" s="24" t="str">
        <f>IF($B$29="","", IFERROR(IF(OR(VLOOKUP(1, Data_Source!$A$2:$AZ$1000, 49, FALSE)="", VLOOKUP(1, Data_Source!$A$2:$AZ$1000, 49, FALSE)=0), "None", VLOOKUP(1, Data_Source!$A$2:$AZ$1000, 49, FALSE)), ""))</f>
        <v>None</v>
      </c>
      <c r="C33" s="23"/>
      <c r="D33" s="23"/>
      <c r="E33" s="23"/>
    </row>
    <row r="34" spans="2:5" ht="12" customHeight="1" x14ac:dyDescent="0.35"/>
    <row r="35" spans="2:5" ht="24" customHeight="1" x14ac:dyDescent="0.35">
      <c r="B35" s="22" t="str">
        <f>IF(ISERROR(MATCH(2, Data_Source!$A$2:$A$1000, 0)), "", "★ CỰU SINH VIÊN #2: " &amp; IFERROR(VLOOKUP(2, Data_Source!$A$2:$AZ$1000, 3, FALSE) &amp; "", ""))</f>
        <v>★ CỰU SINH VIÊN #2: Phạm Thị Thúy Hằng</v>
      </c>
      <c r="C35" s="23"/>
      <c r="D35" s="23"/>
      <c r="E35" s="23"/>
    </row>
    <row r="36" spans="2:5" ht="20" customHeight="1" x14ac:dyDescent="0.35">
      <c r="B36" s="16" t="str">
        <f>IF($B$35="","", "Khóa đào tạo:")</f>
        <v>Khóa đào tạo:</v>
      </c>
      <c r="C36" s="16" t="str">
        <f>IFERROR(VLOOKUP(2, Data_Source!$A$2:$AZ$1000, 6, FALSE) &amp; "", "")</f>
        <v>2015-2019</v>
      </c>
      <c r="D36" s="16" t="str">
        <f>IF($B$35="","", "Lĩnh vực công tác:")</f>
        <v>Lĩnh vực công tác:</v>
      </c>
      <c r="E36" s="16" t="str">
        <f>IFERROR(VLOOKUP(2, Data_Source!$A$2:$AZ$1000, 10, FALSE) &amp; "", "")</f>
        <v>Cơ khí phụ trợ</v>
      </c>
    </row>
    <row r="37" spans="2:5" ht="20" customHeight="1" x14ac:dyDescent="0.35">
      <c r="B37" s="16" t="str">
        <f>IF($B$35="","", "Vị trí / Thu nhập:")</f>
        <v>Vị trí / Thu nhập:</v>
      </c>
      <c r="C37" s="16" t="str">
        <f>IF($B$35="","", IFERROR(VLOOKUP(2, Data_Source!$A$2:$AZ$1000, 16, FALSE), "") &amp; " / " &amp; IFERROR(VLOOKUP(2, Data_Source!$A$2:$AZ$1000, 17, FALSE), ""))</f>
        <v>Kinh doanh, bán hàng kỹ thuật / Từ 10 - 15 triệu</v>
      </c>
      <c r="D37" s="16" t="str">
        <f>IF($B$35="","", "Đúng chuyên ngành:")</f>
        <v>Đúng chuyên ngành:</v>
      </c>
      <c r="E37" s="17" t="str">
        <f>IFERROR(VLOOKUP(2, Data_Source!$A$2:$AZ$1000, 18, FALSE) &amp; "", "")</f>
        <v>Đúng ngành rộng</v>
      </c>
    </row>
    <row r="38" spans="2:5" ht="20" customHeight="1" x14ac:dyDescent="0.35">
      <c r="B38" s="22" t="str">
        <f>IF($B$35="","", "Nội dung góp ý khác:")</f>
        <v>Nội dung góp ý khác:</v>
      </c>
      <c r="C38" s="23"/>
      <c r="D38" s="23"/>
      <c r="E38" s="23"/>
    </row>
    <row r="39" spans="2:5" ht="40" customHeight="1" x14ac:dyDescent="0.35">
      <c r="B39" s="24" t="str">
        <f>IF($B$35="","", IFERROR(IF(OR(VLOOKUP(2, Data_Source!$A$2:$AZ$1000, 49, FALSE)="", VLOOKUP(2, Data_Source!$A$2:$AZ$1000, 49, FALSE)=0), "None", VLOOKUP(2, Data_Source!$A$2:$AZ$1000, 49, FALSE)), ""))</f>
        <v>em không có đề xuất gì</v>
      </c>
      <c r="C39" s="23"/>
      <c r="D39" s="23"/>
      <c r="E39" s="23"/>
    </row>
    <row r="40" spans="2:5" ht="12" customHeight="1" x14ac:dyDescent="0.35"/>
    <row r="41" spans="2:5" ht="24" customHeight="1" x14ac:dyDescent="0.35">
      <c r="B41" s="22" t="str">
        <f>IF(ISERROR(MATCH(3, Data_Source!$A$2:$A$1000, 0)), "", "★ CỰU SINH VIÊN #3: " &amp; IFERROR(VLOOKUP(3, Data_Source!$A$2:$AZ$1000, 3, FALSE) &amp; "", ""))</f>
        <v>★ CỰU SINH VIÊN #3: Hoàng Văn Viết</v>
      </c>
      <c r="C41" s="23"/>
      <c r="D41" s="23"/>
      <c r="E41" s="23"/>
    </row>
    <row r="42" spans="2:5" ht="20" customHeight="1" x14ac:dyDescent="0.35">
      <c r="B42" s="16" t="str">
        <f>IF($B$41="","", "Khóa đào tạo:")</f>
        <v>Khóa đào tạo:</v>
      </c>
      <c r="C42" s="16" t="str">
        <f>IFERROR(VLOOKUP(3, Data_Source!$A$2:$AZ$1000, 6, FALSE) &amp; "", "")</f>
        <v>K38, 2012 - 2016</v>
      </c>
      <c r="D42" s="16" t="str">
        <f>IF($B$41="","", "Lĩnh vực công tác:")</f>
        <v>Lĩnh vực công tác:</v>
      </c>
      <c r="E42" s="16" t="str">
        <f>IFERROR(VLOOKUP(3, Data_Source!$A$2:$AZ$1000, 10, FALSE) &amp; "", "")</f>
        <v>các dự án dầu khí, các nhà máy nhiệt điện, các nhà máy năng lượng mặt trời</v>
      </c>
    </row>
    <row r="43" spans="2:5" ht="20" customHeight="1" x14ac:dyDescent="0.35">
      <c r="B43" s="16" t="str">
        <f>IF($B$41="","", "Vị trí / Thu nhập:")</f>
        <v>Vị trí / Thu nhập:</v>
      </c>
      <c r="C43" s="16" t="str">
        <f>IF($B$41="","", IFERROR(VLOOKUP(3, Data_Source!$A$2:$AZ$1000, 16, FALSE), "") &amp; " / " &amp; IFERROR(VLOOKUP(3, Data_Source!$A$2:$AZ$1000, 17, FALSE), ""))</f>
        <v>Quản lý sản xuất/ sản phẩm / Từ 15 - 30 triệu</v>
      </c>
      <c r="D43" s="16" t="str">
        <f>IF($B$41="","", "Đúng chuyên ngành:")</f>
        <v>Đúng chuyên ngành:</v>
      </c>
      <c r="E43" s="17" t="str">
        <f>IFERROR(VLOOKUP(3, Data_Source!$A$2:$AZ$1000, 18, FALSE) &amp; "", "")</f>
        <v>Gần ngành rộng</v>
      </c>
    </row>
    <row r="44" spans="2:5" ht="20" customHeight="1" x14ac:dyDescent="0.35">
      <c r="B44" s="22" t="str">
        <f>IF($B$41="","", "Nội dung góp ý khác:")</f>
        <v>Nội dung góp ý khác:</v>
      </c>
      <c r="C44" s="23"/>
      <c r="D44" s="23"/>
      <c r="E44" s="23"/>
    </row>
    <row r="45" spans="2:5" ht="40" customHeight="1" x14ac:dyDescent="0.35">
      <c r="B45" s="24" t="str">
        <f>IF($B$41="","", IFERROR(IF(OR(VLOOKUP(3, Data_Source!$A$2:$AZ$1000, 49, FALSE)="", VLOOKUP(3, Data_Source!$A$2:$AZ$1000, 49, FALSE)=0), "None", VLOOKUP(3, Data_Source!$A$2:$AZ$1000, 49, FALSE)), ""))</f>
        <v>None</v>
      </c>
      <c r="C45" s="23"/>
      <c r="D45" s="23"/>
      <c r="E45" s="23"/>
    </row>
    <row r="46" spans="2:5" ht="12" customHeight="1" x14ac:dyDescent="0.35"/>
    <row r="47" spans="2:5" ht="24" customHeight="1" x14ac:dyDescent="0.35">
      <c r="B47" s="22" t="str">
        <f>IF(ISERROR(MATCH(4, Data_Source!$A$2:$A$1000, 0)), "", "★ CỰU SINH VIÊN #4: " &amp; IFERROR(VLOOKUP(4, Data_Source!$A$2:$AZ$1000, 3, FALSE) &amp; "", ""))</f>
        <v>★ CỰU SINH VIÊN #4: Trần Vũ Nam Kha</v>
      </c>
      <c r="C47" s="23"/>
      <c r="D47" s="23"/>
      <c r="E47" s="23"/>
    </row>
    <row r="48" spans="2:5" ht="20" customHeight="1" x14ac:dyDescent="0.35">
      <c r="B48" s="16" t="str">
        <f>IF($B$47="","", "Khóa đào tạo:")</f>
        <v>Khóa đào tạo:</v>
      </c>
      <c r="C48" s="16" t="str">
        <f>IFERROR(VLOOKUP(4, Data_Source!$A$2:$AZ$1000, 6, FALSE) &amp; "", "")</f>
        <v>khóa 12 ( 2012-2016)</v>
      </c>
      <c r="D48" s="16" t="str">
        <f>IF($B$47="","", "Lĩnh vực công tác:")</f>
        <v>Lĩnh vực công tác:</v>
      </c>
      <c r="E48" s="16" t="str">
        <f>IFERROR(VLOOKUP(4, Data_Source!$A$2:$AZ$1000, 10, FALSE) &amp; "", "")</f>
        <v>Dược Phẩm</v>
      </c>
    </row>
    <row r="49" spans="2:5" ht="20" customHeight="1" x14ac:dyDescent="0.35">
      <c r="B49" s="16" t="str">
        <f>IF($B$47="","", "Vị trí / Thu nhập:")</f>
        <v>Vị trí / Thu nhập:</v>
      </c>
      <c r="C49" s="16" t="str">
        <f>IF($B$47="","", IFERROR(VLOOKUP(4, Data_Source!$A$2:$AZ$1000, 16, FALSE), "") &amp; " / " &amp; IFERROR(VLOOKUP(4, Data_Source!$A$2:$AZ$1000, 17, FALSE), ""))</f>
        <v>Tư vấn, quản lý dự án / Trên 30 triệu</v>
      </c>
      <c r="D49" s="16" t="str">
        <f>IF($B$47="","", "Đúng chuyên ngành:")</f>
        <v>Đúng chuyên ngành:</v>
      </c>
      <c r="E49" s="17" t="str">
        <f>IFERROR(VLOOKUP(4, Data_Source!$A$2:$AZ$1000, 18, FALSE) &amp; "", "")</f>
        <v>Đúng ngành rộng</v>
      </c>
    </row>
    <row r="50" spans="2:5" ht="20" customHeight="1" x14ac:dyDescent="0.35">
      <c r="B50" s="22" t="str">
        <f>IF($B$47="","", "Nội dung góp ý khác:")</f>
        <v>Nội dung góp ý khác:</v>
      </c>
      <c r="C50" s="23"/>
      <c r="D50" s="23"/>
      <c r="E50" s="23"/>
    </row>
    <row r="51" spans="2:5" ht="40" customHeight="1" x14ac:dyDescent="0.35">
      <c r="B51" s="24" t="str">
        <f>IF($B$47="","", IFERROR(IF(OR(VLOOKUP(4, Data_Source!$A$2:$AZ$1000, 49, FALSE)="", VLOOKUP(4, Data_Source!$A$2:$AZ$1000, 49, FALSE)=0), "None", VLOOKUP(4, Data_Source!$A$2:$AZ$1000, 49, FALSE)), ""))</f>
        <v>None</v>
      </c>
      <c r="C51" s="23"/>
      <c r="D51" s="23"/>
      <c r="E51" s="23"/>
    </row>
    <row r="52" spans="2:5" ht="12" customHeight="1" x14ac:dyDescent="0.35"/>
    <row r="53" spans="2:5" ht="24" customHeight="1" x14ac:dyDescent="0.35">
      <c r="B53" s="22" t="str">
        <f>IF(ISERROR(MATCH(5, Data_Source!$A$2:$A$1000, 0)), "", "★ CỰU SINH VIÊN #5: " &amp; IFERROR(VLOOKUP(5, Data_Source!$A$2:$AZ$1000, 3, FALSE) &amp; "", ""))</f>
        <v>★ CỰU SINH VIÊN #5: Nguyễn Minh Quang</v>
      </c>
      <c r="C53" s="23"/>
      <c r="D53" s="23"/>
      <c r="E53" s="23"/>
    </row>
    <row r="54" spans="2:5" ht="20" customHeight="1" x14ac:dyDescent="0.35">
      <c r="B54" s="16" t="str">
        <f>IF($B$53="","", "Khóa đào tạo:")</f>
        <v>Khóa đào tạo:</v>
      </c>
      <c r="C54" s="16" t="str">
        <f>IFERROR(VLOOKUP(5, Data_Source!$A$2:$AZ$1000, 6, FALSE) &amp; "", "")</f>
        <v>DH10TD</v>
      </c>
      <c r="D54" s="16" t="str">
        <f>IF($B$53="","", "Lĩnh vực công tác:")</f>
        <v>Lĩnh vực công tác:</v>
      </c>
      <c r="E54" s="16" t="str">
        <f>IFERROR(VLOOKUP(5, Data_Source!$A$2:$AZ$1000, 10, FALSE) &amp; "", "")</f>
        <v>Sản xuất thực phẩm</v>
      </c>
    </row>
    <row r="55" spans="2:5" ht="20" customHeight="1" x14ac:dyDescent="0.35">
      <c r="B55" s="16" t="str">
        <f>IF($B$53="","", "Vị trí / Thu nhập:")</f>
        <v>Vị trí / Thu nhập:</v>
      </c>
      <c r="C55" s="16" t="str">
        <f>IF($B$53="","", IFERROR(VLOOKUP(5, Data_Source!$A$2:$AZ$1000, 16, FALSE), "") &amp; " / " &amp; IFERROR(VLOOKUP(5, Data_Source!$A$2:$AZ$1000, 17, FALSE), ""))</f>
        <v>Kỹ sư lắp đặt, vận hành, bảo trì / Từ 15 - 30 triệu</v>
      </c>
      <c r="D55" s="16" t="str">
        <f>IF($B$53="","", "Đúng chuyên ngành:")</f>
        <v>Đúng chuyên ngành:</v>
      </c>
      <c r="E55" s="17" t="str">
        <f>IFERROR(VLOOKUP(5, Data_Source!$A$2:$AZ$1000, 18, FALSE) &amp; "", "")</f>
        <v>Gần ngành rộng</v>
      </c>
    </row>
    <row r="56" spans="2:5" ht="20" customHeight="1" x14ac:dyDescent="0.35">
      <c r="B56" s="22" t="str">
        <f>IF($B$53="","", "Nội dung góp ý khác:")</f>
        <v>Nội dung góp ý khác:</v>
      </c>
      <c r="C56" s="23"/>
      <c r="D56" s="23"/>
      <c r="E56" s="23"/>
    </row>
    <row r="57" spans="2:5" ht="40" customHeight="1" x14ac:dyDescent="0.35">
      <c r="B57" s="24" t="str">
        <f>IF($B$53="","", IFERROR(IF(OR(VLOOKUP(5, Data_Source!$A$2:$AZ$1000, 49, FALSE)="", VLOOKUP(5, Data_Source!$A$2:$AZ$1000, 49, FALSE)=0), "None", VLOOKUP(5, Data_Source!$A$2:$AZ$1000, 49, FALSE)), ""))</f>
        <v>None</v>
      </c>
      <c r="C57" s="23"/>
      <c r="D57" s="23"/>
      <c r="E57" s="23"/>
    </row>
    <row r="58" spans="2:5" ht="12" customHeight="1" x14ac:dyDescent="0.35"/>
    <row r="59" spans="2:5" ht="24" customHeight="1" x14ac:dyDescent="0.35">
      <c r="B59" s="22" t="str">
        <f>IF(ISERROR(MATCH(6, Data_Source!$A$2:$A$1000, 0)), "", "★ CỰU SINH VIÊN #6: " &amp; IFERROR(VLOOKUP(6, Data_Source!$A$2:$AZ$1000, 3, FALSE) &amp; "", ""))</f>
        <v>★ CỰU SINH VIÊN #6: Dương Thanh Thảo</v>
      </c>
      <c r="C59" s="23"/>
      <c r="D59" s="23"/>
      <c r="E59" s="23"/>
    </row>
    <row r="60" spans="2:5" ht="20" customHeight="1" x14ac:dyDescent="0.35">
      <c r="B60" s="16" t="str">
        <f>IF($B$59="","", "Khóa đào tạo:")</f>
        <v>Khóa đào tạo:</v>
      </c>
      <c r="C60" s="16" t="str">
        <f>IFERROR(VLOOKUP(6, Data_Source!$A$2:$AZ$1000, 6, FALSE) &amp; "", "")</f>
        <v>K40 - DH14TD</v>
      </c>
      <c r="D60" s="16" t="str">
        <f>IF($B$59="","", "Lĩnh vực công tác:")</f>
        <v>Lĩnh vực công tác:</v>
      </c>
      <c r="E60" s="16" t="str">
        <f>IFERROR(VLOOKUP(6, Data_Source!$A$2:$AZ$1000, 10, FALSE) &amp; "", "")</f>
        <v>Nhà Thông minh- Cổng tự động - Khóa Thông minh</v>
      </c>
    </row>
    <row r="61" spans="2:5" ht="20" customHeight="1" x14ac:dyDescent="0.35">
      <c r="B61" s="16" t="str">
        <f>IF($B$59="","", "Vị trí / Thu nhập:")</f>
        <v>Vị trí / Thu nhập:</v>
      </c>
      <c r="C61" s="16" t="str">
        <f>IF($B$59="","", IFERROR(VLOOKUP(6, Data_Source!$A$2:$AZ$1000, 16, FALSE), "") &amp; " / " &amp; IFERROR(VLOOKUP(6, Data_Source!$A$2:$AZ$1000, 17, FALSE), ""))</f>
        <v>Kinh doanh, bán hàng kỹ thuật / Từ 10 - 15 triệu</v>
      </c>
      <c r="D61" s="16" t="str">
        <f>IF($B$59="","", "Đúng chuyên ngành:")</f>
        <v>Đúng chuyên ngành:</v>
      </c>
      <c r="E61" s="17" t="str">
        <f>IFERROR(VLOOKUP(6, Data_Source!$A$2:$AZ$1000, 18, FALSE) &amp; "", "")</f>
        <v>Đúng chuyên ngành đào tạo</v>
      </c>
    </row>
    <row r="62" spans="2:5" ht="20" customHeight="1" x14ac:dyDescent="0.35">
      <c r="B62" s="22" t="str">
        <f>IF($B$59="","", "Nội dung góp ý khác:")</f>
        <v>Nội dung góp ý khác:</v>
      </c>
      <c r="C62" s="23"/>
      <c r="D62" s="23"/>
      <c r="E62" s="23"/>
    </row>
    <row r="63" spans="2:5" ht="40" customHeight="1" x14ac:dyDescent="0.35">
      <c r="B63" s="24" t="str">
        <f>IF($B$59="","", IFERROR(IF(OR(VLOOKUP(6, Data_Source!$A$2:$AZ$1000, 49, FALSE)="", VLOOKUP(6, Data_Source!$A$2:$AZ$1000, 49, FALSE)=0), "None", VLOOKUP(6, Data_Source!$A$2:$AZ$1000, 49, FALSE)), ""))</f>
        <v>Cải cách chương trình đào tạo, đưa các ngành phù hợp với xu hướng hiện tại. ĐỊnh hướng nghề nghiệp cho sinh viên rõ ràng hơn, tổ chức liên tục các chương trình định hướng nghề nghiệp, đào tạo thêm về tư duy nghề nghiệp, các kỹ năng mềm, kỹ năng phỏng vấn, viết CV..</v>
      </c>
      <c r="C63" s="23"/>
      <c r="D63" s="23"/>
      <c r="E63" s="23"/>
    </row>
    <row r="64" spans="2:5" ht="12" customHeight="1" x14ac:dyDescent="0.35"/>
    <row r="65" spans="2:5" ht="24" customHeight="1" x14ac:dyDescent="0.35">
      <c r="B65" s="22" t="str">
        <f>IF(ISERROR(MATCH(7, Data_Source!$A$2:$A$1000, 0)), "", "★ CỰU SINH VIÊN #7: " &amp; IFERROR(VLOOKUP(7, Data_Source!$A$2:$AZ$1000, 3, FALSE) &amp; "", ""))</f>
        <v>★ CỰU SINH VIÊN #7: Huỳnh Hoàng Phú</v>
      </c>
      <c r="C65" s="23"/>
      <c r="D65" s="23"/>
      <c r="E65" s="23"/>
    </row>
    <row r="66" spans="2:5" ht="20" customHeight="1" x14ac:dyDescent="0.35">
      <c r="B66" s="16" t="str">
        <f>IF($B$65="","", "Khóa đào tạo:")</f>
        <v>Khóa đào tạo:</v>
      </c>
      <c r="C66" s="16" t="str">
        <f>IFERROR(VLOOKUP(7, Data_Source!$A$2:$AZ$1000, 6, FALSE) &amp; "", "")</f>
        <v>2013-2017</v>
      </c>
      <c r="D66" s="16" t="str">
        <f>IF($B$65="","", "Lĩnh vực công tác:")</f>
        <v>Lĩnh vực công tác:</v>
      </c>
      <c r="E66" s="16" t="str">
        <f>IFERROR(VLOOKUP(7, Data_Source!$A$2:$AZ$1000, 10, FALSE) &amp; "", "")</f>
        <v>Lắp đặt thiết bị quan trắc</v>
      </c>
    </row>
    <row r="67" spans="2:5" ht="20" customHeight="1" x14ac:dyDescent="0.35">
      <c r="B67" s="16" t="str">
        <f>IF($B$65="","", "Vị trí / Thu nhập:")</f>
        <v>Vị trí / Thu nhập:</v>
      </c>
      <c r="C67" s="16" t="str">
        <f>IF($B$65="","", IFERROR(VLOOKUP(7, Data_Source!$A$2:$AZ$1000, 16, FALSE), "") &amp; " / " &amp; IFERROR(VLOOKUP(7, Data_Source!$A$2:$AZ$1000, 17, FALSE), ""))</f>
        <v>Quản lý sản xuất/ sản phẩm / Trên 30 triệu</v>
      </c>
      <c r="D67" s="16" t="str">
        <f>IF($B$65="","", "Đúng chuyên ngành:")</f>
        <v>Đúng chuyên ngành:</v>
      </c>
      <c r="E67" s="17" t="str">
        <f>IFERROR(VLOOKUP(7, Data_Source!$A$2:$AZ$1000, 18, FALSE) &amp; "", "")</f>
        <v>Đúng chuyên ngành đào tạo</v>
      </c>
    </row>
    <row r="68" spans="2:5" ht="20" customHeight="1" x14ac:dyDescent="0.35">
      <c r="B68" s="22" t="str">
        <f>IF($B$65="","", "Nội dung góp ý khác:")</f>
        <v>Nội dung góp ý khác:</v>
      </c>
      <c r="C68" s="23"/>
      <c r="D68" s="23"/>
      <c r="E68" s="23"/>
    </row>
    <row r="69" spans="2:5" ht="40" customHeight="1" x14ac:dyDescent="0.35">
      <c r="B69" s="24" t="str">
        <f>IF($B$65="","", IFERROR(IF(OR(VLOOKUP(7, Data_Source!$A$2:$AZ$1000, 49, FALSE)="", VLOOKUP(7, Data_Source!$A$2:$AZ$1000, 49, FALSE)=0), "None", VLOOKUP(7, Data_Source!$A$2:$AZ$1000, 49, FALSE)), ""))</f>
        <v>Cần cải thiện khả năng giao tiếp, làm việc nhóm và thực hành</v>
      </c>
      <c r="C69" s="23"/>
      <c r="D69" s="23"/>
      <c r="E69" s="23"/>
    </row>
    <row r="70" spans="2:5" ht="12" customHeight="1" x14ac:dyDescent="0.35"/>
    <row r="71" spans="2:5" ht="24" customHeight="1" x14ac:dyDescent="0.35">
      <c r="B71" s="22" t="str">
        <f>IF(ISERROR(MATCH(8, Data_Source!$A$2:$A$1000, 0)), "", "★ CỰU SINH VIÊN #8: " &amp; IFERROR(VLOOKUP(8, Data_Source!$A$2:$AZ$1000, 3, FALSE) &amp; "", ""))</f>
        <v>★ CỰU SINH VIÊN #8: Ngô Thế Chung</v>
      </c>
      <c r="C71" s="23"/>
      <c r="D71" s="23"/>
      <c r="E71" s="23"/>
    </row>
    <row r="72" spans="2:5" ht="20" customHeight="1" x14ac:dyDescent="0.35">
      <c r="B72" s="16" t="str">
        <f>IF($B$71="","", "Khóa đào tạo:")</f>
        <v>Khóa đào tạo:</v>
      </c>
      <c r="C72" s="16" t="str">
        <f>IFERROR(VLOOKUP(8, Data_Source!$A$2:$AZ$1000, 6, FALSE) &amp; "", "")</f>
        <v>2013</v>
      </c>
      <c r="D72" s="16" t="str">
        <f>IF($B$71="","", "Lĩnh vực công tác:")</f>
        <v>Lĩnh vực công tác:</v>
      </c>
      <c r="E72" s="16" t="str">
        <f>IFERROR(VLOOKUP(8, Data_Source!$A$2:$AZ$1000, 10, FALSE) &amp; "", "")</f>
        <v>Linh kiện thiết bị trợ thính</v>
      </c>
    </row>
    <row r="73" spans="2:5" ht="20" customHeight="1" x14ac:dyDescent="0.35">
      <c r="B73" s="16" t="str">
        <f>IF($B$71="","", "Vị trí / Thu nhập:")</f>
        <v>Vị trí / Thu nhập:</v>
      </c>
      <c r="C73" s="16" t="str">
        <f>IF($B$71="","", IFERROR(VLOOKUP(8, Data_Source!$A$2:$AZ$1000, 16, FALSE), "") &amp; " / " &amp; IFERROR(VLOOKUP(8, Data_Source!$A$2:$AZ$1000, 17, FALSE), ""))</f>
        <v>Kỹ sư lắp đặt, vận hành, bảo trì / Từ 15 - 30 triệu</v>
      </c>
      <c r="D73" s="16" t="str">
        <f>IF($B$71="","", "Đúng chuyên ngành:")</f>
        <v>Đúng chuyên ngành:</v>
      </c>
      <c r="E73" s="17" t="str">
        <f>IFERROR(VLOOKUP(8, Data_Source!$A$2:$AZ$1000, 18, FALSE) &amp; "", "")</f>
        <v>Đúng chuyên ngành đào tạo</v>
      </c>
    </row>
    <row r="74" spans="2:5" ht="20" customHeight="1" x14ac:dyDescent="0.35">
      <c r="B74" s="22" t="str">
        <f>IF($B$71="","", "Nội dung góp ý khác:")</f>
        <v>Nội dung góp ý khác:</v>
      </c>
      <c r="C74" s="23"/>
      <c r="D74" s="23"/>
      <c r="E74" s="23"/>
    </row>
    <row r="75" spans="2:5" ht="40" customHeight="1" x14ac:dyDescent="0.35">
      <c r="B75" s="24" t="str">
        <f>IF($B$71="","", IFERROR(IF(OR(VLOOKUP(8, Data_Source!$A$2:$AZ$1000, 49, FALSE)="", VLOOKUP(8, Data_Source!$A$2:$AZ$1000, 49, FALSE)=0), "None", VLOOKUP(8, Data_Source!$A$2:$AZ$1000, 49, FALSE)), ""))</f>
        <v>None</v>
      </c>
      <c r="C75" s="23"/>
      <c r="D75" s="23"/>
      <c r="E75" s="23"/>
    </row>
    <row r="76" spans="2:5" ht="12" customHeight="1" x14ac:dyDescent="0.35"/>
    <row r="77" spans="2:5" ht="24" customHeight="1" x14ac:dyDescent="0.35">
      <c r="B77" s="22" t="str">
        <f>IF(ISERROR(MATCH(9, Data_Source!$A$2:$A$1000, 0)), "", "★ CỰU SINH VIÊN #9: " &amp; IFERROR(VLOOKUP(9, Data_Source!$A$2:$AZ$1000, 3, FALSE) &amp; "", ""))</f>
        <v>★ CỰU SINH VIÊN #9: Phạm Nguyễn Anh Pha</v>
      </c>
      <c r="C77" s="23"/>
      <c r="D77" s="23"/>
      <c r="E77" s="23"/>
    </row>
    <row r="78" spans="2:5" ht="20" customHeight="1" x14ac:dyDescent="0.35">
      <c r="B78" s="16" t="str">
        <f>IF($B$77="","", "Khóa đào tạo:")</f>
        <v>Khóa đào tạo:</v>
      </c>
      <c r="C78" s="16" t="str">
        <f>IFERROR(VLOOKUP(9, Data_Source!$A$2:$AZ$1000, 6, FALSE) &amp; "", "")</f>
        <v>2019-2023</v>
      </c>
      <c r="D78" s="16" t="str">
        <f>IF($B$77="","", "Lĩnh vực công tác:")</f>
        <v>Lĩnh vực công tác:</v>
      </c>
      <c r="E78" s="16" t="str">
        <f>IFERROR(VLOOKUP(9, Data_Source!$A$2:$AZ$1000, 10, FALSE) &amp; "", "")</f>
        <v>Lốp xe sailun</v>
      </c>
    </row>
    <row r="79" spans="2:5" ht="20" customHeight="1" x14ac:dyDescent="0.35">
      <c r="B79" s="16" t="str">
        <f>IF($B$77="","", "Vị trí / Thu nhập:")</f>
        <v>Vị trí / Thu nhập:</v>
      </c>
      <c r="C79" s="16" t="str">
        <f>IF($B$77="","", IFERROR(VLOOKUP(9, Data_Source!$A$2:$AZ$1000, 16, FALSE), "") &amp; " / " &amp; IFERROR(VLOOKUP(9, Data_Source!$A$2:$AZ$1000, 17, FALSE), ""))</f>
        <v>Kỹ sư lắp đặt, vận hành, bảo trì / Từ 15 - 30 triệu</v>
      </c>
      <c r="D79" s="16" t="str">
        <f>IF($B$77="","", "Đúng chuyên ngành:")</f>
        <v>Đúng chuyên ngành:</v>
      </c>
      <c r="E79" s="17" t="str">
        <f>IFERROR(VLOOKUP(9, Data_Source!$A$2:$AZ$1000, 18, FALSE) &amp; "", "")</f>
        <v>Đúng chuyên ngành đào tạo</v>
      </c>
    </row>
    <row r="80" spans="2:5" ht="20" customHeight="1" x14ac:dyDescent="0.35">
      <c r="B80" s="22" t="str">
        <f>IF($B$77="","", "Nội dung góp ý khác:")</f>
        <v>Nội dung góp ý khác:</v>
      </c>
      <c r="C80" s="23"/>
      <c r="D80" s="23"/>
      <c r="E80" s="23"/>
    </row>
    <row r="81" spans="2:5" ht="40" customHeight="1" x14ac:dyDescent="0.35">
      <c r="B81" s="24" t="str">
        <f>IF($B$77="","", IFERROR(IF(OR(VLOOKUP(9, Data_Source!$A$2:$AZ$1000, 49, FALSE)="", VLOOKUP(9, Data_Source!$A$2:$AZ$1000, 49, FALSE)=0), "None", VLOOKUP(9, Data_Source!$A$2:$AZ$1000, 49, FALSE)), ""))</f>
        <v>None</v>
      </c>
      <c r="C81" s="23"/>
      <c r="D81" s="23"/>
      <c r="E81" s="23"/>
    </row>
    <row r="82" spans="2:5" ht="12" customHeight="1" x14ac:dyDescent="0.35"/>
    <row r="83" spans="2:5" ht="24" customHeight="1" x14ac:dyDescent="0.35">
      <c r="B83" s="22" t="str">
        <f>IF(ISERROR(MATCH(10, Data_Source!$A$2:$A$1000, 0)), "", "★ CỰU SINH VIÊN #10: " &amp; IFERROR(VLOOKUP(10, Data_Source!$A$2:$AZ$1000, 3, FALSE) &amp; "", ""))</f>
        <v>★ CỰU SINH VIÊN #10: Hoàng Phi Hùng</v>
      </c>
      <c r="C83" s="23"/>
      <c r="D83" s="23"/>
      <c r="E83" s="23"/>
    </row>
    <row r="84" spans="2:5" ht="20" customHeight="1" x14ac:dyDescent="0.35">
      <c r="B84" s="16" t="str">
        <f>IF($B$83="","", "Khóa đào tạo:")</f>
        <v>Khóa đào tạo:</v>
      </c>
      <c r="C84" s="16" t="str">
        <f>IFERROR(VLOOKUP(10, Data_Source!$A$2:$AZ$1000, 6, FALSE) &amp; "", "")</f>
        <v>2019</v>
      </c>
      <c r="D84" s="16" t="str">
        <f>IF($B$83="","", "Lĩnh vực công tác:")</f>
        <v>Lĩnh vực công tác:</v>
      </c>
      <c r="E84" s="16" t="str">
        <f>IFERROR(VLOOKUP(10, Data_Source!$A$2:$AZ$1000, 10, FALSE) &amp; "", "")</f>
        <v>Công ty TNHH Sailun Việt Nam</v>
      </c>
    </row>
    <row r="85" spans="2:5" ht="20" customHeight="1" x14ac:dyDescent="0.35">
      <c r="B85" s="16" t="str">
        <f>IF($B$83="","", "Vị trí / Thu nhập:")</f>
        <v>Vị trí / Thu nhập:</v>
      </c>
      <c r="C85" s="16" t="str">
        <f>IF($B$83="","", IFERROR(VLOOKUP(10, Data_Source!$A$2:$AZ$1000, 16, FALSE), "") &amp; " / " &amp; IFERROR(VLOOKUP(10, Data_Source!$A$2:$AZ$1000, 17, FALSE), ""))</f>
        <v>Quản lý sản xuất/ sản phẩm / Từ 10 - 15 triệu</v>
      </c>
      <c r="D85" s="16" t="str">
        <f>IF($B$83="","", "Đúng chuyên ngành:")</f>
        <v>Đúng chuyên ngành:</v>
      </c>
      <c r="E85" s="17" t="str">
        <f>IFERROR(VLOOKUP(10, Data_Source!$A$2:$AZ$1000, 18, FALSE) &amp; "", "")</f>
        <v>Hoàn toàn trái ngành</v>
      </c>
    </row>
    <row r="86" spans="2:5" ht="20" customHeight="1" x14ac:dyDescent="0.35">
      <c r="B86" s="22" t="str">
        <f>IF($B$83="","", "Nội dung góp ý khác:")</f>
        <v>Nội dung góp ý khác:</v>
      </c>
      <c r="C86" s="23"/>
      <c r="D86" s="23"/>
      <c r="E86" s="23"/>
    </row>
    <row r="87" spans="2:5" ht="40" customHeight="1" x14ac:dyDescent="0.35">
      <c r="B87" s="24" t="str">
        <f>IF($B$83="","", IFERROR(IF(OR(VLOOKUP(10, Data_Source!$A$2:$AZ$1000, 49, FALSE)="", VLOOKUP(10, Data_Source!$A$2:$AZ$1000, 49, FALSE)=0), "None", VLOOKUP(10, Data_Source!$A$2:$AZ$1000, 49, FALSE)), ""))</f>
        <v>None</v>
      </c>
      <c r="C87" s="23"/>
      <c r="D87" s="23"/>
      <c r="E87" s="23"/>
    </row>
    <row r="88" spans="2:5" ht="12" customHeight="1" x14ac:dyDescent="0.35"/>
    <row r="89" spans="2:5" ht="24" customHeight="1" x14ac:dyDescent="0.35">
      <c r="B89" s="22" t="str">
        <f>IF(ISERROR(MATCH(11, Data_Source!$A$2:$A$1000, 0)), "", "★ CỰU SINH VIÊN #11: " &amp; IFERROR(VLOOKUP(11, Data_Source!$A$2:$AZ$1000, 3, FALSE) &amp; "", ""))</f>
        <v>★ CỰU SINH VIÊN #11: Nguyễn Tự Hiếu</v>
      </c>
      <c r="C89" s="23"/>
      <c r="D89" s="23"/>
      <c r="E89" s="23"/>
    </row>
    <row r="90" spans="2:5" ht="20" customHeight="1" x14ac:dyDescent="0.35">
      <c r="B90" s="16" t="str">
        <f>IF($B$89="","", "Khóa đào tạo:")</f>
        <v>Khóa đào tạo:</v>
      </c>
      <c r="C90" s="16" t="str">
        <f>IFERROR(VLOOKUP(11, Data_Source!$A$2:$AZ$1000, 6, FALSE) &amp; "", "")</f>
        <v>K39</v>
      </c>
      <c r="D90" s="16" t="str">
        <f>IF($B$89="","", "Lĩnh vực công tác:")</f>
        <v>Lĩnh vực công tác:</v>
      </c>
      <c r="E90" s="16" t="str">
        <f>IFERROR(VLOOKUP(11, Data_Source!$A$2:$AZ$1000, 10, FALSE) &amp; "", "")</f>
        <v>Sản Xuất Giày Nike</v>
      </c>
    </row>
    <row r="91" spans="2:5" ht="20" customHeight="1" x14ac:dyDescent="0.35">
      <c r="B91" s="16" t="str">
        <f>IF($B$89="","", "Vị trí / Thu nhập:")</f>
        <v>Vị trí / Thu nhập:</v>
      </c>
      <c r="C91" s="16" t="str">
        <f>IF($B$89="","", IFERROR(VLOOKUP(11, Data_Source!$A$2:$AZ$1000, 16, FALSE), "") &amp; " / " &amp; IFERROR(VLOOKUP(11, Data_Source!$A$2:$AZ$1000, 17, FALSE), ""))</f>
        <v>Kỹ sư thiết kế. phát triển / Từ 15 - 30 triệu</v>
      </c>
      <c r="D91" s="16" t="str">
        <f>IF($B$89="","", "Đúng chuyên ngành:")</f>
        <v>Đúng chuyên ngành:</v>
      </c>
      <c r="E91" s="17" t="str">
        <f>IFERROR(VLOOKUP(11, Data_Source!$A$2:$AZ$1000, 18, FALSE) &amp; "", "")</f>
        <v>Đúng chuyên ngành đào tạo</v>
      </c>
    </row>
    <row r="92" spans="2:5" ht="20" customHeight="1" x14ac:dyDescent="0.35">
      <c r="B92" s="22" t="str">
        <f>IF($B$89="","", "Nội dung góp ý khác:")</f>
        <v>Nội dung góp ý khác:</v>
      </c>
      <c r="C92" s="23"/>
      <c r="D92" s="23"/>
      <c r="E92" s="23"/>
    </row>
    <row r="93" spans="2:5" ht="40" customHeight="1" x14ac:dyDescent="0.35">
      <c r="B93" s="24" t="str">
        <f>IF($B$89="","", IFERROR(IF(OR(VLOOKUP(11, Data_Source!$A$2:$AZ$1000, 49, FALSE)="", VLOOKUP(11, Data_Source!$A$2:$AZ$1000, 49, FALSE)=0), "None", VLOOKUP(11, Data_Source!$A$2:$AZ$1000, 49, FALSE)), ""))</f>
        <v>None</v>
      </c>
      <c r="C93" s="23"/>
      <c r="D93" s="23"/>
      <c r="E93" s="23"/>
    </row>
    <row r="94" spans="2:5" ht="12" customHeight="1" x14ac:dyDescent="0.35"/>
    <row r="95" spans="2:5" ht="24" customHeight="1" x14ac:dyDescent="0.35">
      <c r="B95" s="22" t="str">
        <f>IF(ISERROR(MATCH(12, Data_Source!$A$2:$A$1000, 0)), "", "★ CỰU SINH VIÊN #12: " &amp; IFERROR(VLOOKUP(12, Data_Source!$A$2:$AZ$1000, 3, FALSE) &amp; "", ""))</f>
        <v>★ CỰU SINH VIÊN #12: Lê Kim Bảo</v>
      </c>
      <c r="C95" s="23"/>
      <c r="D95" s="23"/>
      <c r="E95" s="23"/>
    </row>
    <row r="96" spans="2:5" ht="20" customHeight="1" x14ac:dyDescent="0.35">
      <c r="B96" s="16" t="str">
        <f>IF($B$95="","", "Khóa đào tạo:")</f>
        <v>Khóa đào tạo:</v>
      </c>
      <c r="C96" s="16" t="str">
        <f>IFERROR(VLOOKUP(12, Data_Source!$A$2:$AZ$1000, 6, FALSE) &amp; "", "")</f>
        <v>K44</v>
      </c>
      <c r="D96" s="16" t="str">
        <f>IF($B$95="","", "Lĩnh vực công tác:")</f>
        <v>Lĩnh vực công tác:</v>
      </c>
      <c r="E96" s="16" t="str">
        <f>IFERROR(VLOOKUP(12, Data_Source!$A$2:$AZ$1000, 10, FALSE) &amp; "", "")</f>
        <v>Thi công lắp đặt điện,đấu nối tủ điện, lập trình PLC,HMI,Scada</v>
      </c>
    </row>
    <row r="97" spans="2:5" ht="20" customHeight="1" x14ac:dyDescent="0.35">
      <c r="B97" s="16" t="str">
        <f>IF($B$95="","", "Vị trí / Thu nhập:")</f>
        <v>Vị trí / Thu nhập:</v>
      </c>
      <c r="C97" s="16" t="str">
        <f>IF($B$95="","", IFERROR(VLOOKUP(12, Data_Source!$A$2:$AZ$1000, 16, FALSE), "") &amp; " / " &amp; IFERROR(VLOOKUP(12, Data_Source!$A$2:$AZ$1000, 17, FALSE), ""))</f>
        <v>Kỹ sư thiết kế. phát triển / Từ 10 - 15 triệu</v>
      </c>
      <c r="D97" s="16" t="str">
        <f>IF($B$95="","", "Đúng chuyên ngành:")</f>
        <v>Đúng chuyên ngành:</v>
      </c>
      <c r="E97" s="17" t="str">
        <f>IFERROR(VLOOKUP(12, Data_Source!$A$2:$AZ$1000, 18, FALSE) &amp; "", "")</f>
        <v>Đúng chuyên ngành đào tạo</v>
      </c>
    </row>
    <row r="98" spans="2:5" ht="20" customHeight="1" x14ac:dyDescent="0.35">
      <c r="B98" s="22" t="str">
        <f>IF($B$95="","", "Nội dung góp ý khác:")</f>
        <v>Nội dung góp ý khác:</v>
      </c>
      <c r="C98" s="23"/>
      <c r="D98" s="23"/>
      <c r="E98" s="23"/>
    </row>
    <row r="99" spans="2:5" ht="40" customHeight="1" x14ac:dyDescent="0.35">
      <c r="B99" s="24" t="str">
        <f>IF($B$95="","", IFERROR(IF(OR(VLOOKUP(12, Data_Source!$A$2:$AZ$1000, 49, FALSE)="", VLOOKUP(12, Data_Source!$A$2:$AZ$1000, 49, FALSE)=0), "None", VLOOKUP(12, Data_Source!$A$2:$AZ$1000, 49, FALSE)), ""))</f>
        <v>Không</v>
      </c>
      <c r="C99" s="23"/>
      <c r="D99" s="23"/>
      <c r="E99" s="23"/>
    </row>
    <row r="100" spans="2:5" ht="12" customHeight="1" x14ac:dyDescent="0.35"/>
    <row r="101" spans="2:5" ht="24" customHeight="1" x14ac:dyDescent="0.35">
      <c r="B101" s="22" t="str">
        <f>IF(ISERROR(MATCH(13, Data_Source!$A$2:$A$1000, 0)), "", "★ CỰU SINH VIÊN #13: " &amp; IFERROR(VLOOKUP(13, Data_Source!$A$2:$AZ$1000, 3, FALSE) &amp; "", ""))</f>
        <v>★ CỰU SINH VIÊN #13: So Tấn Luy</v>
      </c>
      <c r="C101" s="23"/>
      <c r="D101" s="23"/>
      <c r="E101" s="23"/>
    </row>
    <row r="102" spans="2:5" ht="20" customHeight="1" x14ac:dyDescent="0.35">
      <c r="B102" s="16" t="str">
        <f>IF($B$101="","", "Khóa đào tạo:")</f>
        <v>Khóa đào tạo:</v>
      </c>
      <c r="C102" s="16" t="str">
        <f>IFERROR(VLOOKUP(13, Data_Source!$A$2:$AZ$1000, 6, FALSE) &amp; "", "")</f>
        <v>K44</v>
      </c>
      <c r="D102" s="16" t="str">
        <f>IF($B$101="","", "Lĩnh vực công tác:")</f>
        <v>Lĩnh vực công tác:</v>
      </c>
      <c r="E102" s="16" t="str">
        <f>IFERROR(VLOOKUP(13, Data_Source!$A$2:$AZ$1000, 10, FALSE) &amp; "", "")</f>
        <v>Giải pháp và tự động hóa</v>
      </c>
    </row>
    <row r="103" spans="2:5" ht="20" customHeight="1" x14ac:dyDescent="0.35">
      <c r="B103" s="16" t="str">
        <f>IF($B$101="","", "Vị trí / Thu nhập:")</f>
        <v>Vị trí / Thu nhập:</v>
      </c>
      <c r="C103" s="16" t="str">
        <f>IF($B$101="","", IFERROR(VLOOKUP(13, Data_Source!$A$2:$AZ$1000, 16, FALSE), "") &amp; " / " &amp; IFERROR(VLOOKUP(13, Data_Source!$A$2:$AZ$1000, 17, FALSE), ""))</f>
        <v>Kỹ sư thiết kế. phát triển / Từ 10 - 15 triệu</v>
      </c>
      <c r="D103" s="16" t="str">
        <f>IF($B$101="","", "Đúng chuyên ngành:")</f>
        <v>Đúng chuyên ngành:</v>
      </c>
      <c r="E103" s="17" t="str">
        <f>IFERROR(VLOOKUP(13, Data_Source!$A$2:$AZ$1000, 18, FALSE) &amp; "", "")</f>
        <v>Đúng chuyên ngành đào tạo</v>
      </c>
    </row>
    <row r="104" spans="2:5" ht="20" customHeight="1" x14ac:dyDescent="0.35">
      <c r="B104" s="22" t="str">
        <f>IF($B$101="","", "Nội dung góp ý khác:")</f>
        <v>Nội dung góp ý khác:</v>
      </c>
      <c r="C104" s="23"/>
      <c r="D104" s="23"/>
      <c r="E104" s="23"/>
    </row>
    <row r="105" spans="2:5" ht="40" customHeight="1" x14ac:dyDescent="0.35">
      <c r="B105" s="24" t="str">
        <f>IF($B$101="","", IFERROR(IF(OR(VLOOKUP(13, Data_Source!$A$2:$AZ$1000, 49, FALSE)="", VLOOKUP(13, Data_Source!$A$2:$AZ$1000, 49, FALSE)=0), "None", VLOOKUP(13, Data_Source!$A$2:$AZ$1000, 49, FALSE)), ""))</f>
        <v xml:space="preserve">Tạo điều kiện cho sinh viên làm quen với các ứng dụng tự động hóa trong Công nghiệp như thế kế mạch điều khiển, lập trình PLC và Robot . xây dựng tư duy hệ thống và quy trình </v>
      </c>
      <c r="C105" s="23"/>
      <c r="D105" s="23"/>
      <c r="E105" s="23"/>
    </row>
    <row r="106" spans="2:5" ht="12" customHeight="1" x14ac:dyDescent="0.35"/>
    <row r="107" spans="2:5" ht="24" customHeight="1" x14ac:dyDescent="0.35">
      <c r="B107" s="22" t="str">
        <f>IF(ISERROR(MATCH(14, Data_Source!$A$2:$A$1000, 0)), "", "★ CỰU SINH VIÊN #14: " &amp; IFERROR(VLOOKUP(14, Data_Source!$A$2:$AZ$1000, 3, FALSE) &amp; "", ""))</f>
        <v>★ CỰU SINH VIÊN #14: NGUYỄN THỊ KIỀU TRINH</v>
      </c>
      <c r="C107" s="23"/>
      <c r="D107" s="23"/>
      <c r="E107" s="23"/>
    </row>
    <row r="108" spans="2:5" ht="20" customHeight="1" x14ac:dyDescent="0.35">
      <c r="B108" s="16" t="str">
        <f>IF($B$107="","", "Khóa đào tạo:")</f>
        <v>Khóa đào tạo:</v>
      </c>
      <c r="C108" s="16" t="str">
        <f>IFERROR(VLOOKUP(14, Data_Source!$A$2:$AZ$1000, 6, FALSE) &amp; "", "")</f>
        <v>2020</v>
      </c>
      <c r="D108" s="16" t="str">
        <f>IF($B$107="","", "Lĩnh vực công tác:")</f>
        <v>Lĩnh vực công tác:</v>
      </c>
      <c r="E108" s="16" t="str">
        <f>IFERROR(VLOOKUP(14, Data_Source!$A$2:$AZ$1000, 10, FALSE) &amp; "", "")</f>
        <v>Cáp điện</v>
      </c>
    </row>
    <row r="109" spans="2:5" ht="20" customHeight="1" x14ac:dyDescent="0.35">
      <c r="B109" s="16" t="str">
        <f>IF($B$107="","", "Vị trí / Thu nhập:")</f>
        <v>Vị trí / Thu nhập:</v>
      </c>
      <c r="C109" s="16" t="str">
        <f>IF($B$107="","", IFERROR(VLOOKUP(14, Data_Source!$A$2:$AZ$1000, 16, FALSE), "") &amp; " / " &amp; IFERROR(VLOOKUP(14, Data_Source!$A$2:$AZ$1000, 17, FALSE), ""))</f>
        <v>Kinh doanh, bán hàng kỹ thuật / Từ 10 - 15 triệu</v>
      </c>
      <c r="D109" s="16" t="str">
        <f>IF($B$107="","", "Đúng chuyên ngành:")</f>
        <v>Đúng chuyên ngành:</v>
      </c>
      <c r="E109" s="17" t="str">
        <f>IFERROR(VLOOKUP(14, Data_Source!$A$2:$AZ$1000, 18, FALSE) &amp; "", "")</f>
        <v>Gần ngành rộng</v>
      </c>
    </row>
    <row r="110" spans="2:5" ht="20" customHeight="1" x14ac:dyDescent="0.35">
      <c r="B110" s="22" t="str">
        <f>IF($B$107="","", "Nội dung góp ý khác:")</f>
        <v>Nội dung góp ý khác:</v>
      </c>
      <c r="C110" s="23"/>
      <c r="D110" s="23"/>
      <c r="E110" s="23"/>
    </row>
    <row r="111" spans="2:5" ht="40" customHeight="1" x14ac:dyDescent="0.35">
      <c r="B111" s="24" t="str">
        <f>IF($B$107="","", IFERROR(IF(OR(VLOOKUP(14, Data_Source!$A$2:$AZ$1000, 49, FALSE)="", VLOOKUP(14, Data_Source!$A$2:$AZ$1000, 49, FALSE)=0), "None", VLOOKUP(14, Data_Source!$A$2:$AZ$1000, 49, FALSE)), ""))</f>
        <v>None</v>
      </c>
      <c r="C111" s="23"/>
      <c r="D111" s="23"/>
      <c r="E111" s="23"/>
    </row>
    <row r="112" spans="2:5" ht="12" customHeight="1" x14ac:dyDescent="0.35"/>
    <row r="113" spans="2:5" ht="24" customHeight="1" x14ac:dyDescent="0.35">
      <c r="B113" s="22" t="str">
        <f>IF(ISERROR(MATCH(15, Data_Source!$A$2:$A$1000, 0)), "", "★ CỰU SINH VIÊN #15: " &amp; IFERROR(VLOOKUP(15, Data_Source!$A$2:$AZ$1000, 3, FALSE) &amp; "", ""))</f>
        <v>★ CỰU SINH VIÊN #15: Nguyễn Thị Mỹ Linh</v>
      </c>
      <c r="C113" s="23"/>
      <c r="D113" s="23"/>
      <c r="E113" s="23"/>
    </row>
    <row r="114" spans="2:5" ht="20" customHeight="1" x14ac:dyDescent="0.35">
      <c r="B114" s="16" t="str">
        <f>IF($B$113="","", "Khóa đào tạo:")</f>
        <v>Khóa đào tạo:</v>
      </c>
      <c r="C114" s="16" t="str">
        <f>IFERROR(VLOOKUP(15, Data_Source!$A$2:$AZ$1000, 6, FALSE) &amp; "", "")</f>
        <v>K44</v>
      </c>
      <c r="D114" s="16" t="str">
        <f>IF($B$113="","", "Lĩnh vực công tác:")</f>
        <v>Lĩnh vực công tác:</v>
      </c>
      <c r="E114" s="16" t="str">
        <f>IFERROR(VLOOKUP(15, Data_Source!$A$2:$AZ$1000, 10, FALSE) &amp; "", "")</f>
        <v xml:space="preserve">Dịch vụ </v>
      </c>
    </row>
    <row r="115" spans="2:5" ht="20" customHeight="1" x14ac:dyDescent="0.35">
      <c r="B115" s="16" t="str">
        <f>IF($B$113="","", "Vị trí / Thu nhập:")</f>
        <v>Vị trí / Thu nhập:</v>
      </c>
      <c r="C115" s="16" t="str">
        <f>IF($B$113="","", IFERROR(VLOOKUP(15, Data_Source!$A$2:$AZ$1000, 16, FALSE), "") &amp; " / " &amp; IFERROR(VLOOKUP(15, Data_Source!$A$2:$AZ$1000, 17, FALSE), ""))</f>
        <v>Chăm sóc khách hành / Từ 10 - 15 triệu</v>
      </c>
      <c r="D115" s="16" t="str">
        <f>IF($B$113="","", "Đúng chuyên ngành:")</f>
        <v>Đúng chuyên ngành:</v>
      </c>
      <c r="E115" s="17" t="str">
        <f>IFERROR(VLOOKUP(15, Data_Source!$A$2:$AZ$1000, 18, FALSE) &amp; "", "")</f>
        <v>Hoàn toàn trái ngành</v>
      </c>
    </row>
    <row r="116" spans="2:5" ht="20" customHeight="1" x14ac:dyDescent="0.35">
      <c r="B116" s="22" t="str">
        <f>IF($B$113="","", "Nội dung góp ý khác:")</f>
        <v>Nội dung góp ý khác:</v>
      </c>
      <c r="C116" s="23"/>
      <c r="D116" s="23"/>
      <c r="E116" s="23"/>
    </row>
    <row r="117" spans="2:5" ht="40" customHeight="1" x14ac:dyDescent="0.35">
      <c r="B117" s="24" t="str">
        <f>IF($B$113="","", IFERROR(IF(OR(VLOOKUP(15, Data_Source!$A$2:$AZ$1000, 49, FALSE)="", VLOOKUP(15, Data_Source!$A$2:$AZ$1000, 49, FALSE)=0), "None", VLOOKUP(15, Data_Source!$A$2:$AZ$1000, 49, FALSE)), ""))</f>
        <v>None</v>
      </c>
      <c r="C117" s="23"/>
      <c r="D117" s="23"/>
      <c r="E117" s="23"/>
    </row>
    <row r="118" spans="2:5" ht="12" customHeight="1" x14ac:dyDescent="0.35"/>
    <row r="119" spans="2:5" ht="24" customHeight="1" x14ac:dyDescent="0.35">
      <c r="B119" s="22" t="str">
        <f>IF(ISERROR(MATCH(16, Data_Source!$A$2:$A$1000, 0)), "", "★ CỰU SINH VIÊN #16: " &amp; IFERROR(VLOOKUP(16, Data_Source!$A$2:$AZ$1000, 3, FALSE) &amp; "", ""))</f>
        <v>★ CỰU SINH VIÊN #16: Phan Thị Mạnh Thắng</v>
      </c>
      <c r="C119" s="23"/>
      <c r="D119" s="23"/>
      <c r="E119" s="23"/>
    </row>
    <row r="120" spans="2:5" ht="20" customHeight="1" x14ac:dyDescent="0.35">
      <c r="B120" s="16" t="str">
        <f>IF($B$119="","", "Khóa đào tạo:")</f>
        <v>Khóa đào tạo:</v>
      </c>
      <c r="C120" s="16" t="str">
        <f>IFERROR(VLOOKUP(16, Data_Source!$A$2:$AZ$1000, 6, FALSE) &amp; "", "")</f>
        <v>2015</v>
      </c>
      <c r="D120" s="16" t="str">
        <f>IF($B$119="","", "Lĩnh vực công tác:")</f>
        <v>Lĩnh vực công tác:</v>
      </c>
      <c r="E120" s="16" t="str">
        <f>IFERROR(VLOOKUP(16, Data_Source!$A$2:$AZ$1000, 10, FALSE) &amp; "", "")</f>
        <v xml:space="preserve">Board mạch điện tử </v>
      </c>
    </row>
    <row r="121" spans="2:5" ht="20" customHeight="1" x14ac:dyDescent="0.35">
      <c r="B121" s="16" t="str">
        <f>IF($B$119="","", "Vị trí / Thu nhập:")</f>
        <v>Vị trí / Thu nhập:</v>
      </c>
      <c r="C121" s="16" t="str">
        <f>IF($B$119="","", IFERROR(VLOOKUP(16, Data_Source!$A$2:$AZ$1000, 16, FALSE), "") &amp; " / " &amp; IFERROR(VLOOKUP(16, Data_Source!$A$2:$AZ$1000, 17, FALSE), ""))</f>
        <v>Quản lý sản xuất/ sản phẩm / Từ 10 - 15 triệu</v>
      </c>
      <c r="D121" s="16" t="str">
        <f>IF($B$119="","", "Đúng chuyên ngành:")</f>
        <v>Đúng chuyên ngành:</v>
      </c>
      <c r="E121" s="17" t="str">
        <f>IFERROR(VLOOKUP(16, Data_Source!$A$2:$AZ$1000, 18, FALSE) &amp; "", "")</f>
        <v>Đúng ngành rộng</v>
      </c>
    </row>
    <row r="122" spans="2:5" ht="20" customHeight="1" x14ac:dyDescent="0.35">
      <c r="B122" s="22" t="str">
        <f>IF($B$119="","", "Nội dung góp ý khác:")</f>
        <v>Nội dung góp ý khác:</v>
      </c>
      <c r="C122" s="23"/>
      <c r="D122" s="23"/>
      <c r="E122" s="23"/>
    </row>
    <row r="123" spans="2:5" ht="40" customHeight="1" x14ac:dyDescent="0.35">
      <c r="B123" s="24" t="str">
        <f>IF($B$119="","", IFERROR(IF(OR(VLOOKUP(16, Data_Source!$A$2:$AZ$1000, 49, FALSE)="", VLOOKUP(16, Data_Source!$A$2:$AZ$1000, 49, FALSE)=0), "None", VLOOKUP(16, Data_Source!$A$2:$AZ$1000, 49, FALSE)), ""))</f>
        <v>None</v>
      </c>
      <c r="C123" s="23"/>
      <c r="D123" s="23"/>
      <c r="E123" s="23"/>
    </row>
    <row r="124" spans="2:5" ht="12" customHeight="1" x14ac:dyDescent="0.35"/>
    <row r="125" spans="2:5" ht="24" customHeight="1" x14ac:dyDescent="0.35">
      <c r="B125" s="22" t="str">
        <f>IF(ISERROR(MATCH(17, Data_Source!$A$2:$A$1000, 0)), "", "★ CỰU SINH VIÊN #17: " &amp; IFERROR(VLOOKUP(17, Data_Source!$A$2:$AZ$1000, 3, FALSE) &amp; "", ""))</f>
        <v>★ CỰU SINH VIÊN #17: Trần Phát</v>
      </c>
      <c r="C125" s="23"/>
      <c r="D125" s="23"/>
      <c r="E125" s="23"/>
    </row>
    <row r="126" spans="2:5" ht="20" customHeight="1" x14ac:dyDescent="0.35">
      <c r="B126" s="16" t="str">
        <f>IF($B$125="","", "Khóa đào tạo:")</f>
        <v>Khóa đào tạo:</v>
      </c>
      <c r="C126" s="16" t="str">
        <f>IFERROR(VLOOKUP(17, Data_Source!$A$2:$AZ$1000, 6, FALSE) &amp; "", "")</f>
        <v>2018</v>
      </c>
      <c r="D126" s="16" t="str">
        <f>IF($B$125="","", "Lĩnh vực công tác:")</f>
        <v>Lĩnh vực công tác:</v>
      </c>
      <c r="E126" s="16" t="str">
        <f>IFERROR(VLOOKUP(17, Data_Source!$A$2:$AZ$1000, 10, FALSE) &amp; "", "")</f>
        <v>công ty chế tạo máy</v>
      </c>
    </row>
    <row r="127" spans="2:5" ht="20" customHeight="1" x14ac:dyDescent="0.35">
      <c r="B127" s="16" t="str">
        <f>IF($B$125="","", "Vị trí / Thu nhập:")</f>
        <v>Vị trí / Thu nhập:</v>
      </c>
      <c r="C127" s="16" t="str">
        <f>IF($B$125="","", IFERROR(VLOOKUP(17, Data_Source!$A$2:$AZ$1000, 16, FALSE), "") &amp; " / " &amp; IFERROR(VLOOKUP(17, Data_Source!$A$2:$AZ$1000, 17, FALSE), ""))</f>
        <v>Kỹ sư thiết kế. phát triển / Từ 15 - 30 triệu</v>
      </c>
      <c r="D127" s="16" t="str">
        <f>IF($B$125="","", "Đúng chuyên ngành:")</f>
        <v>Đúng chuyên ngành:</v>
      </c>
      <c r="E127" s="17" t="str">
        <f>IFERROR(VLOOKUP(17, Data_Source!$A$2:$AZ$1000, 18, FALSE) &amp; "", "")</f>
        <v>Đúng chuyên ngành đào tạo</v>
      </c>
    </row>
    <row r="128" spans="2:5" ht="20" customHeight="1" x14ac:dyDescent="0.35">
      <c r="B128" s="22" t="str">
        <f>IF($B$125="","", "Nội dung góp ý khác:")</f>
        <v>Nội dung góp ý khác:</v>
      </c>
      <c r="C128" s="23"/>
      <c r="D128" s="23"/>
      <c r="E128" s="23"/>
    </row>
    <row r="129" spans="2:5" ht="40" customHeight="1" x14ac:dyDescent="0.35">
      <c r="B129" s="24" t="str">
        <f>IF($B$125="","", IFERROR(IF(OR(VLOOKUP(17, Data_Source!$A$2:$AZ$1000, 49, FALSE)="", VLOOKUP(17, Data_Source!$A$2:$AZ$1000, 49, FALSE)=0), "None", VLOOKUP(17, Data_Source!$A$2:$AZ$1000, 49, FALSE)), ""))</f>
        <v>None</v>
      </c>
      <c r="C129" s="23"/>
      <c r="D129" s="23"/>
      <c r="E129" s="23"/>
    </row>
    <row r="130" spans="2:5" ht="12" customHeight="1" x14ac:dyDescent="0.35"/>
    <row r="131" spans="2:5" ht="24" customHeight="1" x14ac:dyDescent="0.35">
      <c r="B131" s="22" t="str">
        <f>IF(ISERROR(MATCH(18, Data_Source!$A$2:$A$1000, 0)), "", "★ CỰU SINH VIÊN #18: " &amp; IFERROR(VLOOKUP(18, Data_Source!$A$2:$AZ$1000, 3, FALSE) &amp; "", ""))</f>
        <v>★ CỰU SINH VIÊN #18: Nguyễn Công Thiện</v>
      </c>
      <c r="C131" s="23"/>
      <c r="D131" s="23"/>
      <c r="E131" s="23"/>
    </row>
    <row r="132" spans="2:5" ht="20" customHeight="1" x14ac:dyDescent="0.35">
      <c r="B132" s="16" t="str">
        <f>IF($B$131="","", "Khóa đào tạo:")</f>
        <v>Khóa đào tạo:</v>
      </c>
      <c r="C132" s="16" t="str">
        <f>IFERROR(VLOOKUP(18, Data_Source!$A$2:$AZ$1000, 6, FALSE) &amp; "", "")</f>
        <v>2014</v>
      </c>
      <c r="D132" s="16" t="str">
        <f>IF($B$131="","", "Lĩnh vực công tác:")</f>
        <v>Lĩnh vực công tác:</v>
      </c>
      <c r="E132" s="16" t="str">
        <f>IFERROR(VLOOKUP(18, Data_Source!$A$2:$AZ$1000, 10, FALSE) &amp; "", "")</f>
        <v>Đầu tư Bất Động Sản</v>
      </c>
    </row>
    <row r="133" spans="2:5" ht="20" customHeight="1" x14ac:dyDescent="0.35">
      <c r="B133" s="16" t="str">
        <f>IF($B$131="","", "Vị trí / Thu nhập:")</f>
        <v>Vị trí / Thu nhập:</v>
      </c>
      <c r="C133" s="16" t="str">
        <f>IF($B$131="","", IFERROR(VLOOKUP(18, Data_Source!$A$2:$AZ$1000, 16, FALSE), "") &amp; " / " &amp; IFERROR(VLOOKUP(18, Data_Source!$A$2:$AZ$1000, 17, FALSE), ""))</f>
        <v>Chuyên viên thanh quyết toán / Từ 15 - 30 triệu</v>
      </c>
      <c r="D133" s="16" t="str">
        <f>IF($B$131="","", "Đúng chuyên ngành:")</f>
        <v>Đúng chuyên ngành:</v>
      </c>
      <c r="E133" s="17" t="str">
        <f>IFERROR(VLOOKUP(18, Data_Source!$A$2:$AZ$1000, 18, FALSE) &amp; "", "")</f>
        <v>Đúng ngành rộng</v>
      </c>
    </row>
    <row r="134" spans="2:5" ht="20" customHeight="1" x14ac:dyDescent="0.35">
      <c r="B134" s="22" t="str">
        <f>IF($B$131="","", "Nội dung góp ý khác:")</f>
        <v>Nội dung góp ý khác:</v>
      </c>
      <c r="C134" s="23"/>
      <c r="D134" s="23"/>
      <c r="E134" s="23"/>
    </row>
    <row r="135" spans="2:5" ht="40" customHeight="1" x14ac:dyDescent="0.35">
      <c r="B135" s="24" t="str">
        <f>IF($B$131="","", IFERROR(IF(OR(VLOOKUP(18, Data_Source!$A$2:$AZ$1000, 49, FALSE)="", VLOOKUP(18, Data_Source!$A$2:$AZ$1000, 49, FALSE)=0), "None", VLOOKUP(18, Data_Source!$A$2:$AZ$1000, 49, FALSE)), ""))</f>
        <v>None</v>
      </c>
      <c r="C135" s="23"/>
      <c r="D135" s="23"/>
      <c r="E135" s="23"/>
    </row>
    <row r="136" spans="2:5" ht="12" customHeight="1" x14ac:dyDescent="0.35"/>
    <row r="137" spans="2:5" ht="24" customHeight="1" x14ac:dyDescent="0.35">
      <c r="B137" s="22" t="str">
        <f>IF(ISERROR(MATCH(19, Data_Source!$A$2:$A$1000, 0)), "", "★ CỰU SINH VIÊN #19: " &amp; IFERROR(VLOOKUP(19, Data_Source!$A$2:$AZ$1000, 3, FALSE) &amp; "", ""))</f>
        <v/>
      </c>
      <c r="C137" s="23"/>
      <c r="D137" s="23"/>
      <c r="E137" s="23"/>
    </row>
    <row r="138" spans="2:5" ht="20" customHeight="1" x14ac:dyDescent="0.35">
      <c r="B138" s="16" t="str">
        <f>IF($B$137="","", "Khóa đào tạo:")</f>
        <v/>
      </c>
      <c r="C138" s="16" t="str">
        <f>IFERROR(VLOOKUP(19, Data_Source!$A$2:$AZ$1000, 6, FALSE) &amp; "", "")</f>
        <v/>
      </c>
      <c r="D138" s="16" t="str">
        <f>IF($B$137="","", "Lĩnh vực công tác:")</f>
        <v/>
      </c>
      <c r="E138" s="16" t="str">
        <f>IFERROR(VLOOKUP(19, Data_Source!$A$2:$AZ$1000, 10, FALSE) &amp; "", "")</f>
        <v/>
      </c>
    </row>
    <row r="139" spans="2:5" ht="20" customHeight="1" x14ac:dyDescent="0.35">
      <c r="B139" s="16" t="str">
        <f>IF($B$137="","", "Vị trí / Thu nhập:")</f>
        <v/>
      </c>
      <c r="C139" s="16" t="str">
        <f>IF($B$137="","", IFERROR(VLOOKUP(19, Data_Source!$A$2:$AZ$1000, 16, FALSE), "") &amp; " / " &amp; IFERROR(VLOOKUP(19, Data_Source!$A$2:$AZ$1000, 17, FALSE), ""))</f>
        <v/>
      </c>
      <c r="D139" s="16" t="str">
        <f>IF($B$137="","", "Đúng chuyên ngành:")</f>
        <v/>
      </c>
      <c r="E139" s="17" t="str">
        <f>IFERROR(VLOOKUP(19, Data_Source!$A$2:$AZ$1000, 18, FALSE) &amp; "", "")</f>
        <v/>
      </c>
    </row>
    <row r="140" spans="2:5" ht="20" customHeight="1" x14ac:dyDescent="0.35">
      <c r="B140" s="22" t="str">
        <f>IF($B$137="","", "Nội dung góp ý khác:")</f>
        <v/>
      </c>
      <c r="C140" s="23"/>
      <c r="D140" s="23"/>
      <c r="E140" s="23"/>
    </row>
    <row r="141" spans="2:5" ht="40" customHeight="1" x14ac:dyDescent="0.35">
      <c r="B141" s="24" t="str">
        <f>IF($B$137="","", IFERROR(IF(OR(VLOOKUP(19, Data_Source!$A$2:$AZ$1000, 49, FALSE)="", VLOOKUP(19, Data_Source!$A$2:$AZ$1000, 49, FALSE)=0), "None", VLOOKUP(19, Data_Source!$A$2:$AZ$1000, 49, FALSE)), ""))</f>
        <v/>
      </c>
      <c r="C141" s="23"/>
      <c r="D141" s="23"/>
      <c r="E141" s="23"/>
    </row>
    <row r="142" spans="2:5" ht="12" customHeight="1" x14ac:dyDescent="0.35"/>
    <row r="143" spans="2:5" ht="24" customHeight="1" x14ac:dyDescent="0.35">
      <c r="B143" s="22" t="str">
        <f>IF(ISERROR(MATCH(20, Data_Source!$A$2:$A$1000, 0)), "", "★ CỰU SINH VIÊN #20: " &amp; IFERROR(VLOOKUP(20, Data_Source!$A$2:$AZ$1000, 3, FALSE) &amp; "", ""))</f>
        <v/>
      </c>
      <c r="C143" s="23"/>
      <c r="D143" s="23"/>
      <c r="E143" s="23"/>
    </row>
    <row r="144" spans="2:5" ht="20" customHeight="1" x14ac:dyDescent="0.35">
      <c r="B144" s="16" t="str">
        <f>IF($B$143="","", "Khóa đào tạo:")</f>
        <v/>
      </c>
      <c r="C144" s="16" t="str">
        <f>IFERROR(VLOOKUP(20, Data_Source!$A$2:$AZ$1000, 6, FALSE) &amp; "", "")</f>
        <v/>
      </c>
      <c r="D144" s="16" t="str">
        <f>IF($B$143="","", "Lĩnh vực công tác:")</f>
        <v/>
      </c>
      <c r="E144" s="16" t="str">
        <f>IFERROR(VLOOKUP(20, Data_Source!$A$2:$AZ$1000, 10, FALSE) &amp; "", "")</f>
        <v/>
      </c>
    </row>
    <row r="145" spans="2:5" ht="20" customHeight="1" x14ac:dyDescent="0.35">
      <c r="B145" s="16" t="str">
        <f>IF($B$143="","", "Vị trí / Thu nhập:")</f>
        <v/>
      </c>
      <c r="C145" s="16" t="str">
        <f>IF($B$143="","", IFERROR(VLOOKUP(20, Data_Source!$A$2:$AZ$1000, 16, FALSE), "") &amp; " / " &amp; IFERROR(VLOOKUP(20, Data_Source!$A$2:$AZ$1000, 17, FALSE), ""))</f>
        <v/>
      </c>
      <c r="D145" s="16" t="str">
        <f>IF($B$143="","", "Đúng chuyên ngành:")</f>
        <v/>
      </c>
      <c r="E145" s="17" t="str">
        <f>IFERROR(VLOOKUP(20, Data_Source!$A$2:$AZ$1000, 18, FALSE) &amp; "", "")</f>
        <v/>
      </c>
    </row>
    <row r="146" spans="2:5" ht="20" customHeight="1" x14ac:dyDescent="0.35">
      <c r="B146" s="22" t="str">
        <f>IF($B$143="","", "Nội dung góp ý khác:")</f>
        <v/>
      </c>
      <c r="C146" s="23"/>
      <c r="D146" s="23"/>
      <c r="E146" s="23"/>
    </row>
    <row r="147" spans="2:5" ht="40" customHeight="1" x14ac:dyDescent="0.35">
      <c r="B147" s="24" t="str">
        <f>IF($B$143="","", IFERROR(IF(OR(VLOOKUP(20, Data_Source!$A$2:$AZ$1000, 49, FALSE)="", VLOOKUP(20, Data_Source!$A$2:$AZ$1000, 49, FALSE)=0), "None", VLOOKUP(20, Data_Source!$A$2:$AZ$1000, 49, FALSE)), ""))</f>
        <v/>
      </c>
      <c r="C147" s="23"/>
      <c r="D147" s="23"/>
      <c r="E147" s="23"/>
    </row>
    <row r="148" spans="2:5" ht="12" customHeight="1" x14ac:dyDescent="0.35"/>
    <row r="149" spans="2:5" ht="24" customHeight="1" x14ac:dyDescent="0.35">
      <c r="B149" s="22" t="str">
        <f>IF(ISERROR(MATCH(21, Data_Source!$A$2:$A$1000, 0)), "", "★ CỰU SINH VIÊN #21: " &amp; IFERROR(VLOOKUP(21, Data_Source!$A$2:$AZ$1000, 3, FALSE) &amp; "", ""))</f>
        <v/>
      </c>
      <c r="C149" s="23"/>
      <c r="D149" s="23"/>
      <c r="E149" s="23"/>
    </row>
    <row r="150" spans="2:5" ht="20" customHeight="1" x14ac:dyDescent="0.35">
      <c r="B150" s="16" t="str">
        <f>IF($B$149="","", "Khóa đào tạo:")</f>
        <v/>
      </c>
      <c r="C150" s="16" t="str">
        <f>IFERROR(VLOOKUP(21, Data_Source!$A$2:$AZ$1000, 6, FALSE) &amp; "", "")</f>
        <v/>
      </c>
      <c r="D150" s="16" t="str">
        <f>IF($B$149="","", "Lĩnh vực công tác:")</f>
        <v/>
      </c>
      <c r="E150" s="16" t="str">
        <f>IFERROR(VLOOKUP(21, Data_Source!$A$2:$AZ$1000, 10, FALSE) &amp; "", "")</f>
        <v/>
      </c>
    </row>
    <row r="151" spans="2:5" ht="20" customHeight="1" x14ac:dyDescent="0.35">
      <c r="B151" s="16" t="str">
        <f>IF($B$149="","", "Vị trí / Thu nhập:")</f>
        <v/>
      </c>
      <c r="C151" s="16" t="str">
        <f>IF($B$149="","", IFERROR(VLOOKUP(21, Data_Source!$A$2:$AZ$1000, 16, FALSE), "") &amp; " / " &amp; IFERROR(VLOOKUP(21, Data_Source!$A$2:$AZ$1000, 17, FALSE), ""))</f>
        <v/>
      </c>
      <c r="D151" s="16" t="str">
        <f>IF($B$149="","", "Đúng chuyên ngành:")</f>
        <v/>
      </c>
      <c r="E151" s="17" t="str">
        <f>IFERROR(VLOOKUP(21, Data_Source!$A$2:$AZ$1000, 18, FALSE) &amp; "", "")</f>
        <v/>
      </c>
    </row>
    <row r="152" spans="2:5" ht="20" customHeight="1" x14ac:dyDescent="0.35">
      <c r="B152" s="22" t="str">
        <f>IF($B$149="","", "Nội dung góp ý khác:")</f>
        <v/>
      </c>
      <c r="C152" s="23"/>
      <c r="D152" s="23"/>
      <c r="E152" s="23"/>
    </row>
    <row r="153" spans="2:5" ht="40" customHeight="1" x14ac:dyDescent="0.35">
      <c r="B153" s="24" t="str">
        <f>IF($B$149="","", IFERROR(IF(OR(VLOOKUP(21, Data_Source!$A$2:$AZ$1000, 49, FALSE)="", VLOOKUP(21, Data_Source!$A$2:$AZ$1000, 49, FALSE)=0), "None", VLOOKUP(21, Data_Source!$A$2:$AZ$1000, 49, FALSE)), ""))</f>
        <v/>
      </c>
      <c r="C153" s="23"/>
      <c r="D153" s="23"/>
      <c r="E153" s="23"/>
    </row>
    <row r="154" spans="2:5" ht="12" customHeight="1" x14ac:dyDescent="0.35"/>
    <row r="155" spans="2:5" ht="24" customHeight="1" x14ac:dyDescent="0.35">
      <c r="B155" s="22" t="str">
        <f>IF(ISERROR(MATCH(22, Data_Source!$A$2:$A$1000, 0)), "", "★ CỰU SINH VIÊN #22: " &amp; IFERROR(VLOOKUP(22, Data_Source!$A$2:$AZ$1000, 3, FALSE) &amp; "", ""))</f>
        <v/>
      </c>
      <c r="C155" s="23"/>
      <c r="D155" s="23"/>
      <c r="E155" s="23"/>
    </row>
    <row r="156" spans="2:5" ht="20" customHeight="1" x14ac:dyDescent="0.35">
      <c r="B156" s="16" t="str">
        <f>IF($B$155="","", "Khóa đào tạo:")</f>
        <v/>
      </c>
      <c r="C156" s="16" t="str">
        <f>IFERROR(VLOOKUP(22, Data_Source!$A$2:$AZ$1000, 6, FALSE) &amp; "", "")</f>
        <v/>
      </c>
      <c r="D156" s="16" t="str">
        <f>IF($B$155="","", "Lĩnh vực công tác:")</f>
        <v/>
      </c>
      <c r="E156" s="16" t="str">
        <f>IFERROR(VLOOKUP(22, Data_Source!$A$2:$AZ$1000, 10, FALSE) &amp; "", "")</f>
        <v/>
      </c>
    </row>
    <row r="157" spans="2:5" ht="20" customHeight="1" x14ac:dyDescent="0.35">
      <c r="B157" s="16" t="str">
        <f>IF($B$155="","", "Vị trí / Thu nhập:")</f>
        <v/>
      </c>
      <c r="C157" s="16" t="str">
        <f>IF($B$155="","", IFERROR(VLOOKUP(22, Data_Source!$A$2:$AZ$1000, 16, FALSE), "") &amp; " / " &amp; IFERROR(VLOOKUP(22, Data_Source!$A$2:$AZ$1000, 17, FALSE), ""))</f>
        <v/>
      </c>
      <c r="D157" s="16" t="str">
        <f>IF($B$155="","", "Đúng chuyên ngành:")</f>
        <v/>
      </c>
      <c r="E157" s="17" t="str">
        <f>IFERROR(VLOOKUP(22, Data_Source!$A$2:$AZ$1000, 18, FALSE) &amp; "", "")</f>
        <v/>
      </c>
    </row>
    <row r="158" spans="2:5" ht="20" customHeight="1" x14ac:dyDescent="0.35">
      <c r="B158" s="22" t="str">
        <f>IF($B$155="","", "Nội dung góp ý khác:")</f>
        <v/>
      </c>
      <c r="C158" s="23"/>
      <c r="D158" s="23"/>
      <c r="E158" s="23"/>
    </row>
    <row r="159" spans="2:5" ht="40" customHeight="1" x14ac:dyDescent="0.35">
      <c r="B159" s="24" t="str">
        <f>IF($B$155="","", IFERROR(IF(OR(VLOOKUP(22, Data_Source!$A$2:$AZ$1000, 49, FALSE)="", VLOOKUP(22, Data_Source!$A$2:$AZ$1000, 49, FALSE)=0), "None", VLOOKUP(22, Data_Source!$A$2:$AZ$1000, 49, FALSE)), ""))</f>
        <v/>
      </c>
      <c r="C159" s="23"/>
      <c r="D159" s="23"/>
      <c r="E159" s="23"/>
    </row>
    <row r="160" spans="2:5" ht="12" customHeight="1" x14ac:dyDescent="0.35"/>
    <row r="161" spans="2:5" ht="24" customHeight="1" x14ac:dyDescent="0.35">
      <c r="B161" s="22" t="str">
        <f>IF(ISERROR(MATCH(23, Data_Source!$A$2:$A$1000, 0)), "", "★ CỰU SINH VIÊN #23: " &amp; IFERROR(VLOOKUP(23, Data_Source!$A$2:$AZ$1000, 3, FALSE) &amp; "", ""))</f>
        <v/>
      </c>
      <c r="C161" s="23"/>
      <c r="D161" s="23"/>
      <c r="E161" s="23"/>
    </row>
    <row r="162" spans="2:5" ht="20" customHeight="1" x14ac:dyDescent="0.35">
      <c r="B162" s="16" t="str">
        <f>IF($B$161="","", "Khóa đào tạo:")</f>
        <v/>
      </c>
      <c r="C162" s="16" t="str">
        <f>IFERROR(VLOOKUP(23, Data_Source!$A$2:$AZ$1000, 6, FALSE) &amp; "", "")</f>
        <v/>
      </c>
      <c r="D162" s="16" t="str">
        <f>IF($B$161="","", "Lĩnh vực công tác:")</f>
        <v/>
      </c>
      <c r="E162" s="16" t="str">
        <f>IFERROR(VLOOKUP(23, Data_Source!$A$2:$AZ$1000, 10, FALSE) &amp; "", "")</f>
        <v/>
      </c>
    </row>
    <row r="163" spans="2:5" ht="20" customHeight="1" x14ac:dyDescent="0.35">
      <c r="B163" s="16" t="str">
        <f>IF($B$161="","", "Vị trí / Thu nhập:")</f>
        <v/>
      </c>
      <c r="C163" s="16" t="str">
        <f>IF($B$161="","", IFERROR(VLOOKUP(23, Data_Source!$A$2:$AZ$1000, 16, FALSE), "") &amp; " / " &amp; IFERROR(VLOOKUP(23, Data_Source!$A$2:$AZ$1000, 17, FALSE), ""))</f>
        <v/>
      </c>
      <c r="D163" s="16" t="str">
        <f>IF($B$161="","", "Đúng chuyên ngành:")</f>
        <v/>
      </c>
      <c r="E163" s="17" t="str">
        <f>IFERROR(VLOOKUP(23, Data_Source!$A$2:$AZ$1000, 18, FALSE) &amp; "", "")</f>
        <v/>
      </c>
    </row>
    <row r="164" spans="2:5" ht="20" customHeight="1" x14ac:dyDescent="0.35">
      <c r="B164" s="22" t="str">
        <f>IF($B$161="","", "Nội dung góp ý khác:")</f>
        <v/>
      </c>
      <c r="C164" s="23"/>
      <c r="D164" s="23"/>
      <c r="E164" s="23"/>
    </row>
    <row r="165" spans="2:5" ht="40" customHeight="1" x14ac:dyDescent="0.35">
      <c r="B165" s="24" t="str">
        <f>IF($B$161="","", IFERROR(IF(OR(VLOOKUP(23, Data_Source!$A$2:$AZ$1000, 49, FALSE)="", VLOOKUP(23, Data_Source!$A$2:$AZ$1000, 49, FALSE)=0), "None", VLOOKUP(23, Data_Source!$A$2:$AZ$1000, 49, FALSE)), ""))</f>
        <v/>
      </c>
      <c r="C165" s="23"/>
      <c r="D165" s="23"/>
      <c r="E165" s="23"/>
    </row>
    <row r="166" spans="2:5" ht="12" customHeight="1" x14ac:dyDescent="0.35"/>
    <row r="167" spans="2:5" ht="24" customHeight="1" x14ac:dyDescent="0.35">
      <c r="B167" s="22" t="str">
        <f>IF(ISERROR(MATCH(24, Data_Source!$A$2:$A$1000, 0)), "", "★ CỰU SINH VIÊN #24: " &amp; IFERROR(VLOOKUP(24, Data_Source!$A$2:$AZ$1000, 3, FALSE) &amp; "", ""))</f>
        <v/>
      </c>
      <c r="C167" s="23"/>
      <c r="D167" s="23"/>
      <c r="E167" s="23"/>
    </row>
    <row r="168" spans="2:5" ht="20" customHeight="1" x14ac:dyDescent="0.35">
      <c r="B168" s="16" t="str">
        <f>IF($B$167="","", "Khóa đào tạo:")</f>
        <v/>
      </c>
      <c r="C168" s="16" t="str">
        <f>IFERROR(VLOOKUP(24, Data_Source!$A$2:$AZ$1000, 6, FALSE) &amp; "", "")</f>
        <v/>
      </c>
      <c r="D168" s="16" t="str">
        <f>IF($B$167="","", "Lĩnh vực công tác:")</f>
        <v/>
      </c>
      <c r="E168" s="16" t="str">
        <f>IFERROR(VLOOKUP(24, Data_Source!$A$2:$AZ$1000, 10, FALSE) &amp; "", "")</f>
        <v/>
      </c>
    </row>
    <row r="169" spans="2:5" ht="20" customHeight="1" x14ac:dyDescent="0.35">
      <c r="B169" s="16" t="str">
        <f>IF($B$167="","", "Vị trí / Thu nhập:")</f>
        <v/>
      </c>
      <c r="C169" s="16" t="str">
        <f>IF($B$167="","", IFERROR(VLOOKUP(24, Data_Source!$A$2:$AZ$1000, 16, FALSE), "") &amp; " / " &amp; IFERROR(VLOOKUP(24, Data_Source!$A$2:$AZ$1000, 17, FALSE), ""))</f>
        <v/>
      </c>
      <c r="D169" s="16" t="str">
        <f>IF($B$167="","", "Đúng chuyên ngành:")</f>
        <v/>
      </c>
      <c r="E169" s="17" t="str">
        <f>IFERROR(VLOOKUP(24, Data_Source!$A$2:$AZ$1000, 18, FALSE) &amp; "", "")</f>
        <v/>
      </c>
    </row>
    <row r="170" spans="2:5" ht="20" customHeight="1" x14ac:dyDescent="0.35">
      <c r="B170" s="22" t="str">
        <f>IF($B$167="","", "Nội dung góp ý khác:")</f>
        <v/>
      </c>
      <c r="C170" s="23"/>
      <c r="D170" s="23"/>
      <c r="E170" s="23"/>
    </row>
    <row r="171" spans="2:5" ht="40" customHeight="1" x14ac:dyDescent="0.35">
      <c r="B171" s="24" t="str">
        <f>IF($B$167="","", IFERROR(IF(OR(VLOOKUP(24, Data_Source!$A$2:$AZ$1000, 49, FALSE)="", VLOOKUP(24, Data_Source!$A$2:$AZ$1000, 49, FALSE)=0), "None", VLOOKUP(24, Data_Source!$A$2:$AZ$1000, 49, FALSE)), ""))</f>
        <v/>
      </c>
      <c r="C171" s="23"/>
      <c r="D171" s="23"/>
      <c r="E171" s="23"/>
    </row>
    <row r="172" spans="2:5" ht="12" customHeight="1" x14ac:dyDescent="0.35"/>
    <row r="173" spans="2:5" ht="24" customHeight="1" x14ac:dyDescent="0.35">
      <c r="B173" s="22" t="str">
        <f>IF(ISERROR(MATCH(25, Data_Source!$A$2:$A$1000, 0)), "", "★ CỰU SINH VIÊN #25: " &amp; IFERROR(VLOOKUP(25, Data_Source!$A$2:$AZ$1000, 3, FALSE) &amp; "", ""))</f>
        <v/>
      </c>
      <c r="C173" s="23"/>
      <c r="D173" s="23"/>
      <c r="E173" s="23"/>
    </row>
    <row r="174" spans="2:5" ht="20" customHeight="1" x14ac:dyDescent="0.35">
      <c r="B174" s="16" t="str">
        <f>IF($B$173="","", "Khóa đào tạo:")</f>
        <v/>
      </c>
      <c r="C174" s="16" t="str">
        <f>IFERROR(VLOOKUP(25, Data_Source!$A$2:$AZ$1000, 6, FALSE) &amp; "", "")</f>
        <v/>
      </c>
      <c r="D174" s="16" t="str">
        <f>IF($B$173="","", "Lĩnh vực công tác:")</f>
        <v/>
      </c>
      <c r="E174" s="16" t="str">
        <f>IFERROR(VLOOKUP(25, Data_Source!$A$2:$AZ$1000, 10, FALSE) &amp; "", "")</f>
        <v/>
      </c>
    </row>
    <row r="175" spans="2:5" ht="20" customHeight="1" x14ac:dyDescent="0.35">
      <c r="B175" s="16" t="str">
        <f>IF($B$173="","", "Vị trí / Thu nhập:")</f>
        <v/>
      </c>
      <c r="C175" s="16" t="str">
        <f>IF($B$173="","", IFERROR(VLOOKUP(25, Data_Source!$A$2:$AZ$1000, 16, FALSE), "") &amp; " / " &amp; IFERROR(VLOOKUP(25, Data_Source!$A$2:$AZ$1000, 17, FALSE), ""))</f>
        <v/>
      </c>
      <c r="D175" s="16" t="str">
        <f>IF($B$173="","", "Đúng chuyên ngành:")</f>
        <v/>
      </c>
      <c r="E175" s="17" t="str">
        <f>IFERROR(VLOOKUP(25, Data_Source!$A$2:$AZ$1000, 18, FALSE) &amp; "", "")</f>
        <v/>
      </c>
    </row>
    <row r="176" spans="2:5" ht="20" customHeight="1" x14ac:dyDescent="0.35">
      <c r="B176" s="22" t="str">
        <f>IF($B$173="","", "Nội dung góp ý khác:")</f>
        <v/>
      </c>
      <c r="C176" s="23"/>
      <c r="D176" s="23"/>
      <c r="E176" s="23"/>
    </row>
    <row r="177" spans="2:5" ht="40" customHeight="1" x14ac:dyDescent="0.35">
      <c r="B177" s="24" t="str">
        <f>IF($B$173="","", IFERROR(IF(OR(VLOOKUP(25, Data_Source!$A$2:$AZ$1000, 49, FALSE)="", VLOOKUP(25, Data_Source!$A$2:$AZ$1000, 49, FALSE)=0), "None", VLOOKUP(25, Data_Source!$A$2:$AZ$1000, 49, FALSE)), ""))</f>
        <v/>
      </c>
      <c r="C177" s="23"/>
      <c r="D177" s="23"/>
      <c r="E177" s="23"/>
    </row>
    <row r="178" spans="2:5" ht="12" customHeight="1" x14ac:dyDescent="0.35"/>
    <row r="179" spans="2:5" ht="24" customHeight="1" x14ac:dyDescent="0.35">
      <c r="B179" s="22" t="str">
        <f>IF(ISERROR(MATCH(26, Data_Source!$A$2:$A$1000, 0)), "", "★ CỰU SINH VIÊN #26: " &amp; IFERROR(VLOOKUP(26, Data_Source!$A$2:$AZ$1000, 3, FALSE) &amp; "", ""))</f>
        <v/>
      </c>
      <c r="C179" s="23"/>
      <c r="D179" s="23"/>
      <c r="E179" s="23"/>
    </row>
    <row r="180" spans="2:5" ht="20" customHeight="1" x14ac:dyDescent="0.35">
      <c r="B180" s="16" t="str">
        <f>IF($B$179="","", "Khóa đào tạo:")</f>
        <v/>
      </c>
      <c r="C180" s="16" t="str">
        <f>IFERROR(VLOOKUP(26, Data_Source!$A$2:$AZ$1000, 6, FALSE) &amp; "", "")</f>
        <v/>
      </c>
      <c r="D180" s="16" t="str">
        <f>IF($B$179="","", "Lĩnh vực công tác:")</f>
        <v/>
      </c>
      <c r="E180" s="16" t="str">
        <f>IFERROR(VLOOKUP(26, Data_Source!$A$2:$AZ$1000, 10, FALSE) &amp; "", "")</f>
        <v/>
      </c>
    </row>
    <row r="181" spans="2:5" ht="20" customHeight="1" x14ac:dyDescent="0.35">
      <c r="B181" s="16" t="str">
        <f>IF($B$179="","", "Vị trí / Thu nhập:")</f>
        <v/>
      </c>
      <c r="C181" s="16" t="str">
        <f>IF($B$179="","", IFERROR(VLOOKUP(26, Data_Source!$A$2:$AZ$1000, 16, FALSE), "") &amp; " / " &amp; IFERROR(VLOOKUP(26, Data_Source!$A$2:$AZ$1000, 17, FALSE), ""))</f>
        <v/>
      </c>
      <c r="D181" s="16" t="str">
        <f>IF($B$179="","", "Đúng chuyên ngành:")</f>
        <v/>
      </c>
      <c r="E181" s="17" t="str">
        <f>IFERROR(VLOOKUP(26, Data_Source!$A$2:$AZ$1000, 18, FALSE) &amp; "", "")</f>
        <v/>
      </c>
    </row>
    <row r="182" spans="2:5" ht="20" customHeight="1" x14ac:dyDescent="0.35">
      <c r="B182" s="22" t="str">
        <f>IF($B$179="","", "Nội dung góp ý khác:")</f>
        <v/>
      </c>
      <c r="C182" s="23"/>
      <c r="D182" s="23"/>
      <c r="E182" s="23"/>
    </row>
    <row r="183" spans="2:5" ht="40" customHeight="1" x14ac:dyDescent="0.35">
      <c r="B183" s="24" t="str">
        <f>IF($B$179="","", IFERROR(IF(OR(VLOOKUP(26, Data_Source!$A$2:$AZ$1000, 49, FALSE)="", VLOOKUP(26, Data_Source!$A$2:$AZ$1000, 49, FALSE)=0), "None", VLOOKUP(26, Data_Source!$A$2:$AZ$1000, 49, FALSE)), ""))</f>
        <v/>
      </c>
      <c r="C183" s="23"/>
      <c r="D183" s="23"/>
      <c r="E183" s="23"/>
    </row>
    <row r="184" spans="2:5" ht="12" customHeight="1" x14ac:dyDescent="0.35"/>
    <row r="185" spans="2:5" ht="24" customHeight="1" x14ac:dyDescent="0.35">
      <c r="B185" s="22" t="str">
        <f>IF(ISERROR(MATCH(27, Data_Source!$A$2:$A$1000, 0)), "", "★ CỰU SINH VIÊN #27: " &amp; IFERROR(VLOOKUP(27, Data_Source!$A$2:$AZ$1000, 3, FALSE) &amp; "", ""))</f>
        <v/>
      </c>
      <c r="C185" s="23"/>
      <c r="D185" s="23"/>
      <c r="E185" s="23"/>
    </row>
    <row r="186" spans="2:5" ht="20" customHeight="1" x14ac:dyDescent="0.35">
      <c r="B186" s="16" t="str">
        <f>IF($B$185="","", "Khóa đào tạo:")</f>
        <v/>
      </c>
      <c r="C186" s="16" t="str">
        <f>IFERROR(VLOOKUP(27, Data_Source!$A$2:$AZ$1000, 6, FALSE) &amp; "", "")</f>
        <v/>
      </c>
      <c r="D186" s="16" t="str">
        <f>IF($B$185="","", "Lĩnh vực công tác:")</f>
        <v/>
      </c>
      <c r="E186" s="16" t="str">
        <f>IFERROR(VLOOKUP(27, Data_Source!$A$2:$AZ$1000, 10, FALSE) &amp; "", "")</f>
        <v/>
      </c>
    </row>
    <row r="187" spans="2:5" ht="20" customHeight="1" x14ac:dyDescent="0.35">
      <c r="B187" s="16" t="str">
        <f>IF($B$185="","", "Vị trí / Thu nhập:")</f>
        <v/>
      </c>
      <c r="C187" s="16" t="str">
        <f>IF($B$185="","", IFERROR(VLOOKUP(27, Data_Source!$A$2:$AZ$1000, 16, FALSE), "") &amp; " / " &amp; IFERROR(VLOOKUP(27, Data_Source!$A$2:$AZ$1000, 17, FALSE), ""))</f>
        <v/>
      </c>
      <c r="D187" s="16" t="str">
        <f>IF($B$185="","", "Đúng chuyên ngành:")</f>
        <v/>
      </c>
      <c r="E187" s="17" t="str">
        <f>IFERROR(VLOOKUP(27, Data_Source!$A$2:$AZ$1000, 18, FALSE) &amp; "", "")</f>
        <v/>
      </c>
    </row>
    <row r="188" spans="2:5" ht="20" customHeight="1" x14ac:dyDescent="0.35">
      <c r="B188" s="22" t="str">
        <f>IF($B$185="","", "Nội dung góp ý khác:")</f>
        <v/>
      </c>
      <c r="C188" s="23"/>
      <c r="D188" s="23"/>
      <c r="E188" s="23"/>
    </row>
    <row r="189" spans="2:5" ht="40" customHeight="1" x14ac:dyDescent="0.35">
      <c r="B189" s="24" t="str">
        <f>IF($B$185="","", IFERROR(IF(OR(VLOOKUP(27, Data_Source!$A$2:$AZ$1000, 49, FALSE)="", VLOOKUP(27, Data_Source!$A$2:$AZ$1000, 49, FALSE)=0), "None", VLOOKUP(27, Data_Source!$A$2:$AZ$1000, 49, FALSE)), ""))</f>
        <v/>
      </c>
      <c r="C189" s="23"/>
      <c r="D189" s="23"/>
      <c r="E189" s="23"/>
    </row>
    <row r="190" spans="2:5" ht="12" customHeight="1" x14ac:dyDescent="0.35"/>
    <row r="191" spans="2:5" ht="24" customHeight="1" x14ac:dyDescent="0.35">
      <c r="B191" s="22" t="str">
        <f>IF(ISERROR(MATCH(28, Data_Source!$A$2:$A$1000, 0)), "", "★ CỰU SINH VIÊN #28: " &amp; IFERROR(VLOOKUP(28, Data_Source!$A$2:$AZ$1000, 3, FALSE) &amp; "", ""))</f>
        <v/>
      </c>
      <c r="C191" s="23"/>
      <c r="D191" s="23"/>
      <c r="E191" s="23"/>
    </row>
    <row r="192" spans="2:5" ht="20" customHeight="1" x14ac:dyDescent="0.35">
      <c r="B192" s="16" t="str">
        <f>IF($B$191="","", "Khóa đào tạo:")</f>
        <v/>
      </c>
      <c r="C192" s="16" t="str">
        <f>IFERROR(VLOOKUP(28, Data_Source!$A$2:$AZ$1000, 6, FALSE) &amp; "", "")</f>
        <v/>
      </c>
      <c r="D192" s="16" t="str">
        <f>IF($B$191="","", "Lĩnh vực công tác:")</f>
        <v/>
      </c>
      <c r="E192" s="16" t="str">
        <f>IFERROR(VLOOKUP(28, Data_Source!$A$2:$AZ$1000, 10, FALSE) &amp; "", "")</f>
        <v/>
      </c>
    </row>
    <row r="193" spans="2:5" ht="20" customHeight="1" x14ac:dyDescent="0.35">
      <c r="B193" s="16" t="str">
        <f>IF($B$191="","", "Vị trí / Thu nhập:")</f>
        <v/>
      </c>
      <c r="C193" s="16" t="str">
        <f>IF($B$191="","", IFERROR(VLOOKUP(28, Data_Source!$A$2:$AZ$1000, 16, FALSE), "") &amp; " / " &amp; IFERROR(VLOOKUP(28, Data_Source!$A$2:$AZ$1000, 17, FALSE), ""))</f>
        <v/>
      </c>
      <c r="D193" s="16" t="str">
        <f>IF($B$191="","", "Đúng chuyên ngành:")</f>
        <v/>
      </c>
      <c r="E193" s="17" t="str">
        <f>IFERROR(VLOOKUP(28, Data_Source!$A$2:$AZ$1000, 18, FALSE) &amp; "", "")</f>
        <v/>
      </c>
    </row>
    <row r="194" spans="2:5" ht="20" customHeight="1" x14ac:dyDescent="0.35">
      <c r="B194" s="22" t="str">
        <f>IF($B$191="","", "Nội dung góp ý khác:")</f>
        <v/>
      </c>
      <c r="C194" s="23"/>
      <c r="D194" s="23"/>
      <c r="E194" s="23"/>
    </row>
    <row r="195" spans="2:5" ht="40" customHeight="1" x14ac:dyDescent="0.35">
      <c r="B195" s="24" t="str">
        <f>IF($B$191="","", IFERROR(IF(OR(VLOOKUP(28, Data_Source!$A$2:$AZ$1000, 49, FALSE)="", VLOOKUP(28, Data_Source!$A$2:$AZ$1000, 49, FALSE)=0), "None", VLOOKUP(28, Data_Source!$A$2:$AZ$1000, 49, FALSE)), ""))</f>
        <v/>
      </c>
      <c r="C195" s="23"/>
      <c r="D195" s="23"/>
      <c r="E195" s="23"/>
    </row>
    <row r="196" spans="2:5" ht="12" customHeight="1" x14ac:dyDescent="0.35"/>
    <row r="197" spans="2:5" ht="24" customHeight="1" x14ac:dyDescent="0.35">
      <c r="B197" s="22" t="str">
        <f>IF(ISERROR(MATCH(29, Data_Source!$A$2:$A$1000, 0)), "", "★ CỰU SINH VIÊN #29: " &amp; IFERROR(VLOOKUP(29, Data_Source!$A$2:$AZ$1000, 3, FALSE) &amp; "", ""))</f>
        <v/>
      </c>
      <c r="C197" s="23"/>
      <c r="D197" s="23"/>
      <c r="E197" s="23"/>
    </row>
    <row r="198" spans="2:5" ht="20" customHeight="1" x14ac:dyDescent="0.35">
      <c r="B198" s="16" t="str">
        <f>IF($B$197="","", "Khóa đào tạo:")</f>
        <v/>
      </c>
      <c r="C198" s="16" t="str">
        <f>IFERROR(VLOOKUP(29, Data_Source!$A$2:$AZ$1000, 6, FALSE) &amp; "", "")</f>
        <v/>
      </c>
      <c r="D198" s="16" t="str">
        <f>IF($B$197="","", "Lĩnh vực công tác:")</f>
        <v/>
      </c>
      <c r="E198" s="16" t="str">
        <f>IFERROR(VLOOKUP(29, Data_Source!$A$2:$AZ$1000, 10, FALSE) &amp; "", "")</f>
        <v/>
      </c>
    </row>
    <row r="199" spans="2:5" ht="20" customHeight="1" x14ac:dyDescent="0.35">
      <c r="B199" s="16" t="str">
        <f>IF($B$197="","", "Vị trí / Thu nhập:")</f>
        <v/>
      </c>
      <c r="C199" s="16" t="str">
        <f>IF($B$197="","", IFERROR(VLOOKUP(29, Data_Source!$A$2:$AZ$1000, 16, FALSE), "") &amp; " / " &amp; IFERROR(VLOOKUP(29, Data_Source!$A$2:$AZ$1000, 17, FALSE), ""))</f>
        <v/>
      </c>
      <c r="D199" s="16" t="str">
        <f>IF($B$197="","", "Đúng chuyên ngành:")</f>
        <v/>
      </c>
      <c r="E199" s="17" t="str">
        <f>IFERROR(VLOOKUP(29, Data_Source!$A$2:$AZ$1000, 18, FALSE) &amp; "", "")</f>
        <v/>
      </c>
    </row>
    <row r="200" spans="2:5" ht="20" customHeight="1" x14ac:dyDescent="0.35">
      <c r="B200" s="22" t="str">
        <f>IF($B$197="","", "Nội dung góp ý khác:")</f>
        <v/>
      </c>
      <c r="C200" s="23"/>
      <c r="D200" s="23"/>
      <c r="E200" s="23"/>
    </row>
    <row r="201" spans="2:5" ht="40" customHeight="1" x14ac:dyDescent="0.35">
      <c r="B201" s="24" t="str">
        <f>IF($B$197="","", IFERROR(IF(OR(VLOOKUP(29, Data_Source!$A$2:$AZ$1000, 49, FALSE)="", VLOOKUP(29, Data_Source!$A$2:$AZ$1000, 49, FALSE)=0), "None", VLOOKUP(29, Data_Source!$A$2:$AZ$1000, 49, FALSE)), ""))</f>
        <v/>
      </c>
      <c r="C201" s="23"/>
      <c r="D201" s="23"/>
      <c r="E201" s="23"/>
    </row>
    <row r="202" spans="2:5" ht="12" customHeight="1" x14ac:dyDescent="0.35"/>
    <row r="203" spans="2:5" ht="24" customHeight="1" x14ac:dyDescent="0.35">
      <c r="B203" s="22" t="str">
        <f>IF(ISERROR(MATCH(30, Data_Source!$A$2:$A$1000, 0)), "", "★ CỰU SINH VIÊN #30: " &amp; IFERROR(VLOOKUP(30, Data_Source!$A$2:$AZ$1000, 3, FALSE) &amp; "", ""))</f>
        <v/>
      </c>
      <c r="C203" s="23"/>
      <c r="D203" s="23"/>
      <c r="E203" s="23"/>
    </row>
    <row r="204" spans="2:5" ht="20" customHeight="1" x14ac:dyDescent="0.35">
      <c r="B204" s="16" t="str">
        <f>IF($B$203="","", "Khóa đào tạo:")</f>
        <v/>
      </c>
      <c r="C204" s="16" t="str">
        <f>IFERROR(VLOOKUP(30, Data_Source!$A$2:$AZ$1000, 6, FALSE) &amp; "", "")</f>
        <v/>
      </c>
      <c r="D204" s="16" t="str">
        <f>IF($B$203="","", "Lĩnh vực công tác:")</f>
        <v/>
      </c>
      <c r="E204" s="16" t="str">
        <f>IFERROR(VLOOKUP(30, Data_Source!$A$2:$AZ$1000, 10, FALSE) &amp; "", "")</f>
        <v/>
      </c>
    </row>
    <row r="205" spans="2:5" ht="20" customHeight="1" x14ac:dyDescent="0.35">
      <c r="B205" s="16" t="str">
        <f>IF($B$203="","", "Vị trí / Thu nhập:")</f>
        <v/>
      </c>
      <c r="C205" s="16" t="str">
        <f>IF($B$203="","", IFERROR(VLOOKUP(30, Data_Source!$A$2:$AZ$1000, 16, FALSE), "") &amp; " / " &amp; IFERROR(VLOOKUP(30, Data_Source!$A$2:$AZ$1000, 17, FALSE), ""))</f>
        <v/>
      </c>
      <c r="D205" s="16" t="str">
        <f>IF($B$203="","", "Đúng chuyên ngành:")</f>
        <v/>
      </c>
      <c r="E205" s="17" t="str">
        <f>IFERROR(VLOOKUP(30, Data_Source!$A$2:$AZ$1000, 18, FALSE) &amp; "", "")</f>
        <v/>
      </c>
    </row>
    <row r="206" spans="2:5" ht="20" customHeight="1" x14ac:dyDescent="0.35">
      <c r="B206" s="22" t="str">
        <f>IF($B$203="","", "Nội dung góp ý khác:")</f>
        <v/>
      </c>
      <c r="C206" s="23"/>
      <c r="D206" s="23"/>
      <c r="E206" s="23"/>
    </row>
    <row r="207" spans="2:5" ht="40" customHeight="1" x14ac:dyDescent="0.35">
      <c r="B207" s="24" t="str">
        <f>IF($B$203="","", IFERROR(IF(OR(VLOOKUP(30, Data_Source!$A$2:$AZ$1000, 49, FALSE)="", VLOOKUP(30, Data_Source!$A$2:$AZ$1000, 49, FALSE)=0), "None", VLOOKUP(30, Data_Source!$A$2:$AZ$1000, 49, FALSE)), ""))</f>
        <v/>
      </c>
      <c r="C207" s="23"/>
      <c r="D207" s="23"/>
      <c r="E207" s="23"/>
    </row>
    <row r="208" spans="2:5" ht="12" customHeight="1" x14ac:dyDescent="0.35"/>
    <row r="209" spans="2:5" ht="24" customHeight="1" x14ac:dyDescent="0.35">
      <c r="B209" s="22" t="str">
        <f>IF(ISERROR(MATCH(31, Data_Source!$A$2:$A$1000, 0)), "", "★ CỰU SINH VIÊN #31: " &amp; IFERROR(VLOOKUP(31, Data_Source!$A$2:$AZ$1000, 3, FALSE) &amp; "", ""))</f>
        <v/>
      </c>
      <c r="C209" s="23"/>
      <c r="D209" s="23"/>
      <c r="E209" s="23"/>
    </row>
    <row r="210" spans="2:5" ht="20" customHeight="1" x14ac:dyDescent="0.35">
      <c r="B210" s="16" t="str">
        <f>IF($B$209="","", "Khóa đào tạo:")</f>
        <v/>
      </c>
      <c r="C210" s="16" t="str">
        <f>IFERROR(VLOOKUP(31, Data_Source!$A$2:$AZ$1000, 6, FALSE) &amp; "", "")</f>
        <v/>
      </c>
      <c r="D210" s="16" t="str">
        <f>IF($B$209="","", "Lĩnh vực công tác:")</f>
        <v/>
      </c>
      <c r="E210" s="16" t="str">
        <f>IFERROR(VLOOKUP(31, Data_Source!$A$2:$AZ$1000, 10, FALSE) &amp; "", "")</f>
        <v/>
      </c>
    </row>
    <row r="211" spans="2:5" ht="20" customHeight="1" x14ac:dyDescent="0.35">
      <c r="B211" s="16" t="str">
        <f>IF($B$209="","", "Vị trí / Thu nhập:")</f>
        <v/>
      </c>
      <c r="C211" s="16" t="str">
        <f>IF($B$209="","", IFERROR(VLOOKUP(31, Data_Source!$A$2:$AZ$1000, 16, FALSE), "") &amp; " / " &amp; IFERROR(VLOOKUP(31, Data_Source!$A$2:$AZ$1000, 17, FALSE), ""))</f>
        <v/>
      </c>
      <c r="D211" s="16" t="str">
        <f>IF($B$209="","", "Đúng chuyên ngành:")</f>
        <v/>
      </c>
      <c r="E211" s="17" t="str">
        <f>IFERROR(VLOOKUP(31, Data_Source!$A$2:$AZ$1000, 18, FALSE) &amp; "", "")</f>
        <v/>
      </c>
    </row>
    <row r="212" spans="2:5" ht="20" customHeight="1" x14ac:dyDescent="0.35">
      <c r="B212" s="22" t="str">
        <f>IF($B$209="","", "Nội dung góp ý khác:")</f>
        <v/>
      </c>
      <c r="C212" s="23"/>
      <c r="D212" s="23"/>
      <c r="E212" s="23"/>
    </row>
    <row r="213" spans="2:5" ht="40" customHeight="1" x14ac:dyDescent="0.35">
      <c r="B213" s="24" t="str">
        <f>IF($B$209="","", IFERROR(IF(OR(VLOOKUP(31, Data_Source!$A$2:$AZ$1000, 49, FALSE)="", VLOOKUP(31, Data_Source!$A$2:$AZ$1000, 49, FALSE)=0), "None", VLOOKUP(31, Data_Source!$A$2:$AZ$1000, 49, FALSE)), ""))</f>
        <v/>
      </c>
      <c r="C213" s="23"/>
      <c r="D213" s="23"/>
      <c r="E213" s="23"/>
    </row>
    <row r="214" spans="2:5" ht="12" customHeight="1" x14ac:dyDescent="0.35"/>
    <row r="215" spans="2:5" ht="24" customHeight="1" x14ac:dyDescent="0.35">
      <c r="B215" s="22" t="str">
        <f>IF(ISERROR(MATCH(32, Data_Source!$A$2:$A$1000, 0)), "", "★ CỰU SINH VIÊN #32: " &amp; IFERROR(VLOOKUP(32, Data_Source!$A$2:$AZ$1000, 3, FALSE) &amp; "", ""))</f>
        <v/>
      </c>
      <c r="C215" s="23"/>
      <c r="D215" s="23"/>
      <c r="E215" s="23"/>
    </row>
    <row r="216" spans="2:5" ht="20" customHeight="1" x14ac:dyDescent="0.35">
      <c r="B216" s="16" t="str">
        <f>IF($B$215="","", "Khóa đào tạo:")</f>
        <v/>
      </c>
      <c r="C216" s="16" t="str">
        <f>IFERROR(VLOOKUP(32, Data_Source!$A$2:$AZ$1000, 6, FALSE) &amp; "", "")</f>
        <v/>
      </c>
      <c r="D216" s="16" t="str">
        <f>IF($B$215="","", "Lĩnh vực công tác:")</f>
        <v/>
      </c>
      <c r="E216" s="16" t="str">
        <f>IFERROR(VLOOKUP(32, Data_Source!$A$2:$AZ$1000, 10, FALSE) &amp; "", "")</f>
        <v/>
      </c>
    </row>
    <row r="217" spans="2:5" ht="20" customHeight="1" x14ac:dyDescent="0.35">
      <c r="B217" s="16" t="str">
        <f>IF($B$215="","", "Vị trí / Thu nhập:")</f>
        <v/>
      </c>
      <c r="C217" s="16" t="str">
        <f>IF($B$215="","", IFERROR(VLOOKUP(32, Data_Source!$A$2:$AZ$1000, 16, FALSE), "") &amp; " / " &amp; IFERROR(VLOOKUP(32, Data_Source!$A$2:$AZ$1000, 17, FALSE), ""))</f>
        <v/>
      </c>
      <c r="D217" s="16" t="str">
        <f>IF($B$215="","", "Đúng chuyên ngành:")</f>
        <v/>
      </c>
      <c r="E217" s="17" t="str">
        <f>IFERROR(VLOOKUP(32, Data_Source!$A$2:$AZ$1000, 18, FALSE) &amp; "", "")</f>
        <v/>
      </c>
    </row>
    <row r="218" spans="2:5" ht="20" customHeight="1" x14ac:dyDescent="0.35">
      <c r="B218" s="22" t="str">
        <f>IF($B$215="","", "Nội dung góp ý khác:")</f>
        <v/>
      </c>
      <c r="C218" s="23"/>
      <c r="D218" s="23"/>
      <c r="E218" s="23"/>
    </row>
    <row r="219" spans="2:5" ht="40" customHeight="1" x14ac:dyDescent="0.35">
      <c r="B219" s="24" t="str">
        <f>IF($B$215="","", IFERROR(IF(OR(VLOOKUP(32, Data_Source!$A$2:$AZ$1000, 49, FALSE)="", VLOOKUP(32, Data_Source!$A$2:$AZ$1000, 49, FALSE)=0), "None", VLOOKUP(32, Data_Source!$A$2:$AZ$1000, 49, FALSE)), ""))</f>
        <v/>
      </c>
      <c r="C219" s="23"/>
      <c r="D219" s="23"/>
      <c r="E219" s="23"/>
    </row>
    <row r="220" spans="2:5" ht="12" customHeight="1" x14ac:dyDescent="0.35"/>
    <row r="221" spans="2:5" ht="24" customHeight="1" x14ac:dyDescent="0.35">
      <c r="B221" s="22" t="str">
        <f>IF(ISERROR(MATCH(33, Data_Source!$A$2:$A$1000, 0)), "", "★ CỰU SINH VIÊN #33: " &amp; IFERROR(VLOOKUP(33, Data_Source!$A$2:$AZ$1000, 3, FALSE) &amp; "", ""))</f>
        <v/>
      </c>
      <c r="C221" s="23"/>
      <c r="D221" s="23"/>
      <c r="E221" s="23"/>
    </row>
    <row r="222" spans="2:5" ht="20" customHeight="1" x14ac:dyDescent="0.35">
      <c r="B222" s="16" t="str">
        <f>IF($B$221="","", "Khóa đào tạo:")</f>
        <v/>
      </c>
      <c r="C222" s="16" t="str">
        <f>IFERROR(VLOOKUP(33, Data_Source!$A$2:$AZ$1000, 6, FALSE) &amp; "", "")</f>
        <v/>
      </c>
      <c r="D222" s="16" t="str">
        <f>IF($B$221="","", "Lĩnh vực công tác:")</f>
        <v/>
      </c>
      <c r="E222" s="16" t="str">
        <f>IFERROR(VLOOKUP(33, Data_Source!$A$2:$AZ$1000, 10, FALSE) &amp; "", "")</f>
        <v/>
      </c>
    </row>
    <row r="223" spans="2:5" ht="20" customHeight="1" x14ac:dyDescent="0.35">
      <c r="B223" s="16" t="str">
        <f>IF($B$221="","", "Vị trí / Thu nhập:")</f>
        <v/>
      </c>
      <c r="C223" s="16" t="str">
        <f>IF($B$221="","", IFERROR(VLOOKUP(33, Data_Source!$A$2:$AZ$1000, 16, FALSE), "") &amp; " / " &amp; IFERROR(VLOOKUP(33, Data_Source!$A$2:$AZ$1000, 17, FALSE), ""))</f>
        <v/>
      </c>
      <c r="D223" s="16" t="str">
        <f>IF($B$221="","", "Đúng chuyên ngành:")</f>
        <v/>
      </c>
      <c r="E223" s="17" t="str">
        <f>IFERROR(VLOOKUP(33, Data_Source!$A$2:$AZ$1000, 18, FALSE) &amp; "", "")</f>
        <v/>
      </c>
    </row>
    <row r="224" spans="2:5" ht="20" customHeight="1" x14ac:dyDescent="0.35">
      <c r="B224" s="22" t="str">
        <f>IF($B$221="","", "Nội dung góp ý khác:")</f>
        <v/>
      </c>
      <c r="C224" s="23"/>
      <c r="D224" s="23"/>
      <c r="E224" s="23"/>
    </row>
    <row r="225" spans="2:5" ht="40" customHeight="1" x14ac:dyDescent="0.35">
      <c r="B225" s="24" t="str">
        <f>IF($B$221="","", IFERROR(IF(OR(VLOOKUP(33, Data_Source!$A$2:$AZ$1000, 49, FALSE)="", VLOOKUP(33, Data_Source!$A$2:$AZ$1000, 49, FALSE)=0), "None", VLOOKUP(33, Data_Source!$A$2:$AZ$1000, 49, FALSE)), ""))</f>
        <v/>
      </c>
      <c r="C225" s="23"/>
      <c r="D225" s="23"/>
      <c r="E225" s="23"/>
    </row>
    <row r="226" spans="2:5" ht="12" customHeight="1" x14ac:dyDescent="0.35"/>
    <row r="227" spans="2:5" ht="24" customHeight="1" x14ac:dyDescent="0.35">
      <c r="B227" s="22" t="str">
        <f>IF(ISERROR(MATCH(34, Data_Source!$A$2:$A$1000, 0)), "", "★ CỰU SINH VIÊN #34: " &amp; IFERROR(VLOOKUP(34, Data_Source!$A$2:$AZ$1000, 3, FALSE) &amp; "", ""))</f>
        <v/>
      </c>
      <c r="C227" s="23"/>
      <c r="D227" s="23"/>
      <c r="E227" s="23"/>
    </row>
    <row r="228" spans="2:5" ht="20" customHeight="1" x14ac:dyDescent="0.35">
      <c r="B228" s="16" t="str">
        <f>IF($B$227="","", "Khóa đào tạo:")</f>
        <v/>
      </c>
      <c r="C228" s="16" t="str">
        <f>IFERROR(VLOOKUP(34, Data_Source!$A$2:$AZ$1000, 6, FALSE) &amp; "", "")</f>
        <v/>
      </c>
      <c r="D228" s="16" t="str">
        <f>IF($B$227="","", "Lĩnh vực công tác:")</f>
        <v/>
      </c>
      <c r="E228" s="16" t="str">
        <f>IFERROR(VLOOKUP(34, Data_Source!$A$2:$AZ$1000, 10, FALSE) &amp; "", "")</f>
        <v/>
      </c>
    </row>
    <row r="229" spans="2:5" ht="20" customHeight="1" x14ac:dyDescent="0.35">
      <c r="B229" s="16" t="str">
        <f>IF($B$227="","", "Vị trí / Thu nhập:")</f>
        <v/>
      </c>
      <c r="C229" s="16" t="str">
        <f>IF($B$227="","", IFERROR(VLOOKUP(34, Data_Source!$A$2:$AZ$1000, 16, FALSE), "") &amp; " / " &amp; IFERROR(VLOOKUP(34, Data_Source!$A$2:$AZ$1000, 17, FALSE), ""))</f>
        <v/>
      </c>
      <c r="D229" s="16" t="str">
        <f>IF($B$227="","", "Đúng chuyên ngành:")</f>
        <v/>
      </c>
      <c r="E229" s="17" t="str">
        <f>IFERROR(VLOOKUP(34, Data_Source!$A$2:$AZ$1000, 18, FALSE) &amp; "", "")</f>
        <v/>
      </c>
    </row>
    <row r="230" spans="2:5" ht="20" customHeight="1" x14ac:dyDescent="0.35">
      <c r="B230" s="22" t="str">
        <f>IF($B$227="","", "Nội dung góp ý khác:")</f>
        <v/>
      </c>
      <c r="C230" s="23"/>
      <c r="D230" s="23"/>
      <c r="E230" s="23"/>
    </row>
    <row r="231" spans="2:5" ht="40" customHeight="1" x14ac:dyDescent="0.35">
      <c r="B231" s="24" t="str">
        <f>IF($B$227="","", IFERROR(IF(OR(VLOOKUP(34, Data_Source!$A$2:$AZ$1000, 49, FALSE)="", VLOOKUP(34, Data_Source!$A$2:$AZ$1000, 49, FALSE)=0), "None", VLOOKUP(34, Data_Source!$A$2:$AZ$1000, 49, FALSE)), ""))</f>
        <v/>
      </c>
      <c r="C231" s="23"/>
      <c r="D231" s="23"/>
      <c r="E231" s="23"/>
    </row>
    <row r="232" spans="2:5" ht="12" customHeight="1" x14ac:dyDescent="0.35"/>
    <row r="233" spans="2:5" ht="24" customHeight="1" x14ac:dyDescent="0.35">
      <c r="B233" s="22" t="str">
        <f>IF(ISERROR(MATCH(35, Data_Source!$A$2:$A$1000, 0)), "", "★ CỰU SINH VIÊN #35: " &amp; IFERROR(VLOOKUP(35, Data_Source!$A$2:$AZ$1000, 3, FALSE) &amp; "", ""))</f>
        <v/>
      </c>
      <c r="C233" s="23"/>
      <c r="D233" s="23"/>
      <c r="E233" s="23"/>
    </row>
    <row r="234" spans="2:5" ht="20" customHeight="1" x14ac:dyDescent="0.35">
      <c r="B234" s="16" t="str">
        <f>IF($B$233="","", "Khóa đào tạo:")</f>
        <v/>
      </c>
      <c r="C234" s="16" t="str">
        <f>IFERROR(VLOOKUP(35, Data_Source!$A$2:$AZ$1000, 6, FALSE) &amp; "", "")</f>
        <v/>
      </c>
      <c r="D234" s="16" t="str">
        <f>IF($B$233="","", "Lĩnh vực công tác:")</f>
        <v/>
      </c>
      <c r="E234" s="16" t="str">
        <f>IFERROR(VLOOKUP(35, Data_Source!$A$2:$AZ$1000, 10, FALSE) &amp; "", "")</f>
        <v/>
      </c>
    </row>
    <row r="235" spans="2:5" ht="20" customHeight="1" x14ac:dyDescent="0.35">
      <c r="B235" s="16" t="str">
        <f>IF($B$233="","", "Vị trí / Thu nhập:")</f>
        <v/>
      </c>
      <c r="C235" s="16" t="str">
        <f>IF($B$233="","", IFERROR(VLOOKUP(35, Data_Source!$A$2:$AZ$1000, 16, FALSE), "") &amp; " / " &amp; IFERROR(VLOOKUP(35, Data_Source!$A$2:$AZ$1000, 17, FALSE), ""))</f>
        <v/>
      </c>
      <c r="D235" s="16" t="str">
        <f>IF($B$233="","", "Đúng chuyên ngành:")</f>
        <v/>
      </c>
      <c r="E235" s="17" t="str">
        <f>IFERROR(VLOOKUP(35, Data_Source!$A$2:$AZ$1000, 18, FALSE) &amp; "", "")</f>
        <v/>
      </c>
    </row>
    <row r="236" spans="2:5" ht="20" customHeight="1" x14ac:dyDescent="0.35">
      <c r="B236" s="22" t="str">
        <f>IF($B$233="","", "Nội dung góp ý khác:")</f>
        <v/>
      </c>
      <c r="C236" s="23"/>
      <c r="D236" s="23"/>
      <c r="E236" s="23"/>
    </row>
    <row r="237" spans="2:5" ht="40" customHeight="1" x14ac:dyDescent="0.35">
      <c r="B237" s="24" t="str">
        <f>IF($B$233="","", IFERROR(IF(OR(VLOOKUP(35, Data_Source!$A$2:$AZ$1000, 49, FALSE)="", VLOOKUP(35, Data_Source!$A$2:$AZ$1000, 49, FALSE)=0), "None", VLOOKUP(35, Data_Source!$A$2:$AZ$1000, 49, FALSE)), ""))</f>
        <v/>
      </c>
      <c r="C237" s="23"/>
      <c r="D237" s="23"/>
      <c r="E237" s="23"/>
    </row>
    <row r="238" spans="2:5" ht="12" customHeight="1" x14ac:dyDescent="0.35"/>
  </sheetData>
  <mergeCells count="113">
    <mergeCell ref="B225:E225"/>
    <mergeCell ref="B147:E147"/>
    <mergeCell ref="H8:I8"/>
    <mergeCell ref="B128:E128"/>
    <mergeCell ref="B137:E137"/>
    <mergeCell ref="B59:E59"/>
    <mergeCell ref="B125:E125"/>
    <mergeCell ref="B8:C8"/>
    <mergeCell ref="B159:E159"/>
    <mergeCell ref="H7:I7"/>
    <mergeCell ref="B152:E152"/>
    <mergeCell ref="B167:E167"/>
    <mergeCell ref="B161:E161"/>
    <mergeCell ref="B219:E219"/>
    <mergeCell ref="B111:E111"/>
    <mergeCell ref="B98:E98"/>
    <mergeCell ref="D8:E8"/>
    <mergeCell ref="F7:G7"/>
    <mergeCell ref="B153:E153"/>
    <mergeCell ref="B224:E224"/>
    <mergeCell ref="B185:E185"/>
    <mergeCell ref="B200:E200"/>
    <mergeCell ref="B134:E134"/>
    <mergeCell ref="B81:E81"/>
    <mergeCell ref="B194:E194"/>
    <mergeCell ref="F8:G8"/>
    <mergeCell ref="B122:E122"/>
    <mergeCell ref="B56:E56"/>
    <mergeCell ref="B71:E71"/>
    <mergeCell ref="B105:E105"/>
    <mergeCell ref="B176:E176"/>
    <mergeCell ref="B107:E107"/>
    <mergeCell ref="B57:E57"/>
    <mergeCell ref="B170:E170"/>
    <mergeCell ref="B171:E171"/>
    <mergeCell ref="B44:E44"/>
    <mergeCell ref="B99:E99"/>
    <mergeCell ref="B83:E83"/>
    <mergeCell ref="B143:E143"/>
    <mergeCell ref="B92:E92"/>
    <mergeCell ref="B189:E189"/>
    <mergeCell ref="B237:E237"/>
    <mergeCell ref="B129:E129"/>
    <mergeCell ref="B209:E209"/>
    <mergeCell ref="B131:E131"/>
    <mergeCell ref="B140:E140"/>
    <mergeCell ref="B195:E195"/>
    <mergeCell ref="B77:E77"/>
    <mergeCell ref="B117:E117"/>
    <mergeCell ref="B231:E231"/>
    <mergeCell ref="B179:E179"/>
    <mergeCell ref="B119:E119"/>
    <mergeCell ref="B116:E116"/>
    <mergeCell ref="B230:E230"/>
    <mergeCell ref="B158:E158"/>
    <mergeCell ref="B80:E80"/>
    <mergeCell ref="B95:E95"/>
    <mergeCell ref="B89:E89"/>
    <mergeCell ref="B236:E236"/>
    <mergeCell ref="B213:E213"/>
    <mergeCell ref="B188:E188"/>
    <mergeCell ref="B135:E135"/>
    <mergeCell ref="B218:E218"/>
    <mergeCell ref="B233:E233"/>
    <mergeCell ref="B227:E227"/>
    <mergeCell ref="D7:E7"/>
    <mergeCell ref="B86:E86"/>
    <mergeCell ref="B39:E39"/>
    <mergeCell ref="B101:E101"/>
    <mergeCell ref="B69:E69"/>
    <mergeCell ref="B182:E182"/>
    <mergeCell ref="B38:E38"/>
    <mergeCell ref="B191:E191"/>
    <mergeCell ref="B87:E87"/>
    <mergeCell ref="B183:E183"/>
    <mergeCell ref="B177:E177"/>
    <mergeCell ref="B33:E33"/>
    <mergeCell ref="B104:E104"/>
    <mergeCell ref="B51:E51"/>
    <mergeCell ref="B164:E164"/>
    <mergeCell ref="B32:E32"/>
    <mergeCell ref="B63:E63"/>
    <mergeCell ref="B41:E41"/>
    <mergeCell ref="B35:E35"/>
    <mergeCell ref="B50:E50"/>
    <mergeCell ref="B53:E53"/>
    <mergeCell ref="B29:E29"/>
    <mergeCell ref="B7:C7"/>
    <mergeCell ref="B75:E75"/>
    <mergeCell ref="B146:E146"/>
    <mergeCell ref="B65:E65"/>
    <mergeCell ref="B74:E74"/>
    <mergeCell ref="B68:E68"/>
    <mergeCell ref="B201:E201"/>
    <mergeCell ref="B123:E123"/>
    <mergeCell ref="B207:E207"/>
    <mergeCell ref="B221:E221"/>
    <mergeCell ref="B45:E45"/>
    <mergeCell ref="B110:E110"/>
    <mergeCell ref="B203:E203"/>
    <mergeCell ref="B113:E113"/>
    <mergeCell ref="B173:E173"/>
    <mergeCell ref="B165:E165"/>
    <mergeCell ref="B47:E47"/>
    <mergeCell ref="B141:E141"/>
    <mergeCell ref="B155:E155"/>
    <mergeCell ref="B93:E93"/>
    <mergeCell ref="B149:E149"/>
    <mergeCell ref="B215:E215"/>
    <mergeCell ref="B197:E197"/>
    <mergeCell ref="B212:E212"/>
    <mergeCell ref="B206:E206"/>
    <mergeCell ref="B62:E62"/>
  </mergeCells>
  <conditionalFormatting sqref="B30:B31">
    <cfRule type="expression" dxfId="279" priority="2">
      <formula>$B$29&lt;&gt;""</formula>
    </cfRule>
  </conditionalFormatting>
  <conditionalFormatting sqref="B36:B37">
    <cfRule type="expression" dxfId="278" priority="13">
      <formula>$B$35&lt;&gt;""</formula>
    </cfRule>
  </conditionalFormatting>
  <conditionalFormatting sqref="B42:B43">
    <cfRule type="expression" dxfId="277" priority="24">
      <formula>$B$41&lt;&gt;""</formula>
    </cfRule>
  </conditionalFormatting>
  <conditionalFormatting sqref="B48:B49">
    <cfRule type="expression" dxfId="276" priority="35">
      <formula>$B$47&lt;&gt;""</formula>
    </cfRule>
  </conditionalFormatting>
  <conditionalFormatting sqref="B54:B55">
    <cfRule type="expression" dxfId="275" priority="46">
      <formula>$B$53&lt;&gt;""</formula>
    </cfRule>
  </conditionalFormatting>
  <conditionalFormatting sqref="B60:B61">
    <cfRule type="expression" dxfId="274" priority="57">
      <formula>$B$59&lt;&gt;""</formula>
    </cfRule>
  </conditionalFormatting>
  <conditionalFormatting sqref="B66:B67">
    <cfRule type="expression" dxfId="273" priority="68">
      <formula>$B$65&lt;&gt;""</formula>
    </cfRule>
  </conditionalFormatting>
  <conditionalFormatting sqref="B72:B73">
    <cfRule type="expression" dxfId="272" priority="79">
      <formula>$B$71&lt;&gt;""</formula>
    </cfRule>
  </conditionalFormatting>
  <conditionalFormatting sqref="B78:B79">
    <cfRule type="expression" dxfId="271" priority="90">
      <formula>$B$77&lt;&gt;""</formula>
    </cfRule>
  </conditionalFormatting>
  <conditionalFormatting sqref="B84:B85">
    <cfRule type="expression" dxfId="270" priority="101">
      <formula>$B$83&lt;&gt;""</formula>
    </cfRule>
  </conditionalFormatting>
  <conditionalFormatting sqref="B90:B91">
    <cfRule type="expression" dxfId="269" priority="112">
      <formula>$B$89&lt;&gt;""</formula>
    </cfRule>
  </conditionalFormatting>
  <conditionalFormatting sqref="B96:B97">
    <cfRule type="expression" dxfId="268" priority="123">
      <formula>$B$95&lt;&gt;""</formula>
    </cfRule>
  </conditionalFormatting>
  <conditionalFormatting sqref="B102:B103">
    <cfRule type="expression" dxfId="267" priority="134">
      <formula>$B$101&lt;&gt;""</formula>
    </cfRule>
  </conditionalFormatting>
  <conditionalFormatting sqref="B108:B109">
    <cfRule type="expression" dxfId="266" priority="145">
      <formula>$B$107&lt;&gt;""</formula>
    </cfRule>
  </conditionalFormatting>
  <conditionalFormatting sqref="B114:B115">
    <cfRule type="expression" dxfId="265" priority="156">
      <formula>$B$113&lt;&gt;""</formula>
    </cfRule>
  </conditionalFormatting>
  <conditionalFormatting sqref="B120:B121">
    <cfRule type="expression" dxfId="264" priority="167">
      <formula>$B$119&lt;&gt;""</formula>
    </cfRule>
  </conditionalFormatting>
  <conditionalFormatting sqref="B126:B127">
    <cfRule type="expression" dxfId="263" priority="178">
      <formula>$B$125&lt;&gt;""</formula>
    </cfRule>
  </conditionalFormatting>
  <conditionalFormatting sqref="B132:B133">
    <cfRule type="expression" dxfId="262" priority="189">
      <formula>$B$131&lt;&gt;""</formula>
    </cfRule>
  </conditionalFormatting>
  <conditionalFormatting sqref="B138:B139">
    <cfRule type="expression" dxfId="261" priority="200">
      <formula>$B$137&lt;&gt;""</formula>
    </cfRule>
  </conditionalFormatting>
  <conditionalFormatting sqref="B144:B145">
    <cfRule type="expression" dxfId="260" priority="211">
      <formula>$B$143&lt;&gt;""</formula>
    </cfRule>
  </conditionalFormatting>
  <conditionalFormatting sqref="B150:B151">
    <cfRule type="expression" dxfId="259" priority="222">
      <formula>$B$149&lt;&gt;""</formula>
    </cfRule>
  </conditionalFormatting>
  <conditionalFormatting sqref="B156:B157">
    <cfRule type="expression" dxfId="258" priority="233">
      <formula>$B$155&lt;&gt;""</formula>
    </cfRule>
  </conditionalFormatting>
  <conditionalFormatting sqref="B162:B163">
    <cfRule type="expression" dxfId="257" priority="244">
      <formula>$B$161&lt;&gt;""</formula>
    </cfRule>
  </conditionalFormatting>
  <conditionalFormatting sqref="B168:B169">
    <cfRule type="expression" dxfId="256" priority="255">
      <formula>$B$167&lt;&gt;""</formula>
    </cfRule>
  </conditionalFormatting>
  <conditionalFormatting sqref="B174:B175">
    <cfRule type="expression" dxfId="255" priority="266">
      <formula>$B$173&lt;&gt;""</formula>
    </cfRule>
  </conditionalFormatting>
  <conditionalFormatting sqref="B180:B181">
    <cfRule type="expression" dxfId="254" priority="277">
      <formula>$B$179&lt;&gt;""</formula>
    </cfRule>
  </conditionalFormatting>
  <conditionalFormatting sqref="B186:B187">
    <cfRule type="expression" dxfId="253" priority="288">
      <formula>$B$185&lt;&gt;""</formula>
    </cfRule>
  </conditionalFormatting>
  <conditionalFormatting sqref="B192:B193">
    <cfRule type="expression" dxfId="252" priority="299">
      <formula>$B$191&lt;&gt;""</formula>
    </cfRule>
  </conditionalFormatting>
  <conditionalFormatting sqref="B198:B199">
    <cfRule type="expression" dxfId="251" priority="310">
      <formula>$B$197&lt;&gt;""</formula>
    </cfRule>
  </conditionalFormatting>
  <conditionalFormatting sqref="B204:B205">
    <cfRule type="expression" dxfId="250" priority="321">
      <formula>$B$203&lt;&gt;""</formula>
    </cfRule>
  </conditionalFormatting>
  <conditionalFormatting sqref="B210:B211">
    <cfRule type="expression" dxfId="249" priority="332">
      <formula>$B$209&lt;&gt;""</formula>
    </cfRule>
  </conditionalFormatting>
  <conditionalFormatting sqref="B216:B217">
    <cfRule type="expression" dxfId="248" priority="343">
      <formula>$B$215&lt;&gt;""</formula>
    </cfRule>
  </conditionalFormatting>
  <conditionalFormatting sqref="B222:B223">
    <cfRule type="expression" dxfId="247" priority="354">
      <formula>$B$221&lt;&gt;""</formula>
    </cfRule>
  </conditionalFormatting>
  <conditionalFormatting sqref="B228:B229">
    <cfRule type="expression" dxfId="246" priority="365">
      <formula>$B$227&lt;&gt;""</formula>
    </cfRule>
  </conditionalFormatting>
  <conditionalFormatting sqref="B234:B235">
    <cfRule type="expression" dxfId="245" priority="376">
      <formula>$B$233&lt;&gt;""</formula>
    </cfRule>
  </conditionalFormatting>
  <conditionalFormatting sqref="B29:E29">
    <cfRule type="expression" dxfId="244" priority="1">
      <formula>$B$29&lt;&gt;""</formula>
    </cfRule>
  </conditionalFormatting>
  <conditionalFormatting sqref="B32:E32">
    <cfRule type="expression" dxfId="243" priority="6">
      <formula>$B$29&lt;&gt;""</formula>
    </cfRule>
  </conditionalFormatting>
  <conditionalFormatting sqref="B33:E33">
    <cfRule type="expression" dxfId="242" priority="11">
      <formula>$B$29&lt;&gt;""</formula>
    </cfRule>
  </conditionalFormatting>
  <conditionalFormatting sqref="B35:E35">
    <cfRule type="expression" dxfId="241" priority="12">
      <formula>$B$35&lt;&gt;""</formula>
    </cfRule>
  </conditionalFormatting>
  <conditionalFormatting sqref="B38:E38">
    <cfRule type="expression" dxfId="240" priority="17">
      <formula>$B$35&lt;&gt;""</formula>
    </cfRule>
  </conditionalFormatting>
  <conditionalFormatting sqref="B39:E39">
    <cfRule type="expression" dxfId="239" priority="22">
      <formula>$B$35&lt;&gt;""</formula>
    </cfRule>
  </conditionalFormatting>
  <conditionalFormatting sqref="B41:E41">
    <cfRule type="expression" dxfId="238" priority="23">
      <formula>$B$41&lt;&gt;""</formula>
    </cfRule>
  </conditionalFormatting>
  <conditionalFormatting sqref="B44:E44">
    <cfRule type="expression" dxfId="237" priority="28">
      <formula>$B$41&lt;&gt;""</formula>
    </cfRule>
  </conditionalFormatting>
  <conditionalFormatting sqref="B45:E45">
    <cfRule type="expression" dxfId="236" priority="33">
      <formula>$B$41&lt;&gt;""</formula>
    </cfRule>
  </conditionalFormatting>
  <conditionalFormatting sqref="B47:E47">
    <cfRule type="expression" dxfId="235" priority="34">
      <formula>$B$47&lt;&gt;""</formula>
    </cfRule>
  </conditionalFormatting>
  <conditionalFormatting sqref="B50:E50">
    <cfRule type="expression" dxfId="234" priority="39">
      <formula>$B$47&lt;&gt;""</formula>
    </cfRule>
  </conditionalFormatting>
  <conditionalFormatting sqref="B51:E51">
    <cfRule type="expression" dxfId="233" priority="44">
      <formula>$B$47&lt;&gt;""</formula>
    </cfRule>
  </conditionalFormatting>
  <conditionalFormatting sqref="B53:E53">
    <cfRule type="expression" dxfId="232" priority="45">
      <formula>$B$53&lt;&gt;""</formula>
    </cfRule>
  </conditionalFormatting>
  <conditionalFormatting sqref="B56:E56">
    <cfRule type="expression" dxfId="231" priority="50">
      <formula>$B$53&lt;&gt;""</formula>
    </cfRule>
  </conditionalFormatting>
  <conditionalFormatting sqref="B57:E57">
    <cfRule type="expression" dxfId="230" priority="55">
      <formula>$B$53&lt;&gt;""</formula>
    </cfRule>
  </conditionalFormatting>
  <conditionalFormatting sqref="B59:E59">
    <cfRule type="expression" dxfId="229" priority="56">
      <formula>$B$59&lt;&gt;""</formula>
    </cfRule>
  </conditionalFormatting>
  <conditionalFormatting sqref="B62:E62">
    <cfRule type="expression" dxfId="228" priority="61">
      <formula>$B$59&lt;&gt;""</formula>
    </cfRule>
  </conditionalFormatting>
  <conditionalFormatting sqref="B63:E63">
    <cfRule type="expression" dxfId="227" priority="66">
      <formula>$B$59&lt;&gt;""</formula>
    </cfRule>
  </conditionalFormatting>
  <conditionalFormatting sqref="B65:E65">
    <cfRule type="expression" dxfId="226" priority="67">
      <formula>$B$65&lt;&gt;""</formula>
    </cfRule>
  </conditionalFormatting>
  <conditionalFormatting sqref="B68:E68">
    <cfRule type="expression" dxfId="225" priority="72">
      <formula>$B$65&lt;&gt;""</formula>
    </cfRule>
  </conditionalFormatting>
  <conditionalFormatting sqref="B69:E69">
    <cfRule type="expression" dxfId="224" priority="77">
      <formula>$B$65&lt;&gt;""</formula>
    </cfRule>
  </conditionalFormatting>
  <conditionalFormatting sqref="B71:E71">
    <cfRule type="expression" dxfId="223" priority="78">
      <formula>$B$71&lt;&gt;""</formula>
    </cfRule>
  </conditionalFormatting>
  <conditionalFormatting sqref="B74:E74">
    <cfRule type="expression" dxfId="222" priority="83">
      <formula>$B$71&lt;&gt;""</formula>
    </cfRule>
  </conditionalFormatting>
  <conditionalFormatting sqref="B75:E75">
    <cfRule type="expression" dxfId="221" priority="88">
      <formula>$B$71&lt;&gt;""</formula>
    </cfRule>
  </conditionalFormatting>
  <conditionalFormatting sqref="B77:E77">
    <cfRule type="expression" dxfId="220" priority="89">
      <formula>$B$77&lt;&gt;""</formula>
    </cfRule>
  </conditionalFormatting>
  <conditionalFormatting sqref="B80:E80">
    <cfRule type="expression" dxfId="219" priority="94">
      <formula>$B$77&lt;&gt;""</formula>
    </cfRule>
  </conditionalFormatting>
  <conditionalFormatting sqref="B81:E81">
    <cfRule type="expression" dxfId="218" priority="99">
      <formula>$B$77&lt;&gt;""</formula>
    </cfRule>
  </conditionalFormatting>
  <conditionalFormatting sqref="B83:E83">
    <cfRule type="expression" dxfId="217" priority="100">
      <formula>$B$83&lt;&gt;""</formula>
    </cfRule>
  </conditionalFormatting>
  <conditionalFormatting sqref="B86:E86">
    <cfRule type="expression" dxfId="216" priority="105">
      <formula>$B$83&lt;&gt;""</formula>
    </cfRule>
  </conditionalFormatting>
  <conditionalFormatting sqref="B87:E87">
    <cfRule type="expression" dxfId="215" priority="110">
      <formula>$B$83&lt;&gt;""</formula>
    </cfRule>
  </conditionalFormatting>
  <conditionalFormatting sqref="B89:E89">
    <cfRule type="expression" dxfId="214" priority="111">
      <formula>$B$89&lt;&gt;""</formula>
    </cfRule>
  </conditionalFormatting>
  <conditionalFormatting sqref="B92:E92">
    <cfRule type="expression" dxfId="213" priority="116">
      <formula>$B$89&lt;&gt;""</formula>
    </cfRule>
  </conditionalFormatting>
  <conditionalFormatting sqref="B93:E93">
    <cfRule type="expression" dxfId="212" priority="121">
      <formula>$B$89&lt;&gt;""</formula>
    </cfRule>
  </conditionalFormatting>
  <conditionalFormatting sqref="B95:E95">
    <cfRule type="expression" dxfId="211" priority="122">
      <formula>$B$95&lt;&gt;""</formula>
    </cfRule>
  </conditionalFormatting>
  <conditionalFormatting sqref="B98:E98">
    <cfRule type="expression" dxfId="210" priority="127">
      <formula>$B$95&lt;&gt;""</formula>
    </cfRule>
  </conditionalFormatting>
  <conditionalFormatting sqref="B99:E99">
    <cfRule type="expression" dxfId="209" priority="132">
      <formula>$B$95&lt;&gt;""</formula>
    </cfRule>
  </conditionalFormatting>
  <conditionalFormatting sqref="B101:E101">
    <cfRule type="expression" dxfId="208" priority="133">
      <formula>$B$101&lt;&gt;""</formula>
    </cfRule>
  </conditionalFormatting>
  <conditionalFormatting sqref="B104:E104">
    <cfRule type="expression" dxfId="207" priority="138">
      <formula>$B$101&lt;&gt;""</formula>
    </cfRule>
  </conditionalFormatting>
  <conditionalFormatting sqref="B105:E105">
    <cfRule type="expression" dxfId="206" priority="143">
      <formula>$B$101&lt;&gt;""</formula>
    </cfRule>
  </conditionalFormatting>
  <conditionalFormatting sqref="B107:E107">
    <cfRule type="expression" dxfId="205" priority="144">
      <formula>$B$107&lt;&gt;""</formula>
    </cfRule>
  </conditionalFormatting>
  <conditionalFormatting sqref="B110:E110">
    <cfRule type="expression" dxfId="204" priority="149">
      <formula>$B$107&lt;&gt;""</formula>
    </cfRule>
  </conditionalFormatting>
  <conditionalFormatting sqref="B111:E111">
    <cfRule type="expression" dxfId="203" priority="154">
      <formula>$B$107&lt;&gt;""</formula>
    </cfRule>
  </conditionalFormatting>
  <conditionalFormatting sqref="B113:E113">
    <cfRule type="expression" dxfId="202" priority="155">
      <formula>$B$113&lt;&gt;""</formula>
    </cfRule>
  </conditionalFormatting>
  <conditionalFormatting sqref="B116:E116">
    <cfRule type="expression" dxfId="201" priority="160">
      <formula>$B$113&lt;&gt;""</formula>
    </cfRule>
  </conditionalFormatting>
  <conditionalFormatting sqref="B117:E117">
    <cfRule type="expression" dxfId="200" priority="165">
      <formula>$B$113&lt;&gt;""</formula>
    </cfRule>
  </conditionalFormatting>
  <conditionalFormatting sqref="B119:E119">
    <cfRule type="expression" dxfId="199" priority="166">
      <formula>$B$119&lt;&gt;""</formula>
    </cfRule>
  </conditionalFormatting>
  <conditionalFormatting sqref="B122:E122">
    <cfRule type="expression" dxfId="198" priority="171">
      <formula>$B$119&lt;&gt;""</formula>
    </cfRule>
  </conditionalFormatting>
  <conditionalFormatting sqref="B123:E123">
    <cfRule type="expression" dxfId="197" priority="176">
      <formula>$B$119&lt;&gt;""</formula>
    </cfRule>
  </conditionalFormatting>
  <conditionalFormatting sqref="B125:E125">
    <cfRule type="expression" dxfId="196" priority="177">
      <formula>$B$125&lt;&gt;""</formula>
    </cfRule>
  </conditionalFormatting>
  <conditionalFormatting sqref="B128:E128">
    <cfRule type="expression" dxfId="195" priority="182">
      <formula>$B$125&lt;&gt;""</formula>
    </cfRule>
  </conditionalFormatting>
  <conditionalFormatting sqref="B129:E129">
    <cfRule type="expression" dxfId="194" priority="187">
      <formula>$B$125&lt;&gt;""</formula>
    </cfRule>
  </conditionalFormatting>
  <conditionalFormatting sqref="B131:E131">
    <cfRule type="expression" dxfId="193" priority="188">
      <formula>$B$131&lt;&gt;""</formula>
    </cfRule>
  </conditionalFormatting>
  <conditionalFormatting sqref="B134:E134">
    <cfRule type="expression" dxfId="192" priority="193">
      <formula>$B$131&lt;&gt;""</formula>
    </cfRule>
  </conditionalFormatting>
  <conditionalFormatting sqref="B135:E135">
    <cfRule type="expression" dxfId="191" priority="198">
      <formula>$B$131&lt;&gt;""</formula>
    </cfRule>
  </conditionalFormatting>
  <conditionalFormatting sqref="B137:E137">
    <cfRule type="expression" dxfId="190" priority="199">
      <formula>$B$137&lt;&gt;""</formula>
    </cfRule>
  </conditionalFormatting>
  <conditionalFormatting sqref="B140:E140">
    <cfRule type="expression" dxfId="189" priority="204">
      <formula>$B$137&lt;&gt;""</formula>
    </cfRule>
  </conditionalFormatting>
  <conditionalFormatting sqref="B141:E141">
    <cfRule type="expression" dxfId="188" priority="209">
      <formula>$B$137&lt;&gt;""</formula>
    </cfRule>
  </conditionalFormatting>
  <conditionalFormatting sqref="B143:E143">
    <cfRule type="expression" dxfId="187" priority="210">
      <formula>$B$143&lt;&gt;""</formula>
    </cfRule>
  </conditionalFormatting>
  <conditionalFormatting sqref="B146:E146">
    <cfRule type="expression" dxfId="186" priority="215">
      <formula>$B$143&lt;&gt;""</formula>
    </cfRule>
  </conditionalFormatting>
  <conditionalFormatting sqref="B147:E147">
    <cfRule type="expression" dxfId="185" priority="220">
      <formula>$B$143&lt;&gt;""</formula>
    </cfRule>
  </conditionalFormatting>
  <conditionalFormatting sqref="B149:E149">
    <cfRule type="expression" dxfId="184" priority="221">
      <formula>$B$149&lt;&gt;""</formula>
    </cfRule>
  </conditionalFormatting>
  <conditionalFormatting sqref="B152:E152">
    <cfRule type="expression" dxfId="183" priority="226">
      <formula>$B$149&lt;&gt;""</formula>
    </cfRule>
  </conditionalFormatting>
  <conditionalFormatting sqref="B153:E153">
    <cfRule type="expression" dxfId="182" priority="231">
      <formula>$B$149&lt;&gt;""</formula>
    </cfRule>
  </conditionalFormatting>
  <conditionalFormatting sqref="B155:E155">
    <cfRule type="expression" dxfId="181" priority="232">
      <formula>$B$155&lt;&gt;""</formula>
    </cfRule>
  </conditionalFormatting>
  <conditionalFormatting sqref="B158:E158">
    <cfRule type="expression" dxfId="180" priority="237">
      <formula>$B$155&lt;&gt;""</formula>
    </cfRule>
  </conditionalFormatting>
  <conditionalFormatting sqref="B159:E159">
    <cfRule type="expression" dxfId="179" priority="242">
      <formula>$B$155&lt;&gt;""</formula>
    </cfRule>
  </conditionalFormatting>
  <conditionalFormatting sqref="B161:E161">
    <cfRule type="expression" dxfId="178" priority="243">
      <formula>$B$161&lt;&gt;""</formula>
    </cfRule>
  </conditionalFormatting>
  <conditionalFormatting sqref="B164:E164">
    <cfRule type="expression" dxfId="177" priority="248">
      <formula>$B$161&lt;&gt;""</formula>
    </cfRule>
  </conditionalFormatting>
  <conditionalFormatting sqref="B165:E165">
    <cfRule type="expression" dxfId="176" priority="253">
      <formula>$B$161&lt;&gt;""</formula>
    </cfRule>
  </conditionalFormatting>
  <conditionalFormatting sqref="B167:E167">
    <cfRule type="expression" dxfId="175" priority="254">
      <formula>$B$167&lt;&gt;""</formula>
    </cfRule>
  </conditionalFormatting>
  <conditionalFormatting sqref="B170:E170">
    <cfRule type="expression" dxfId="174" priority="259">
      <formula>$B$167&lt;&gt;""</formula>
    </cfRule>
  </conditionalFormatting>
  <conditionalFormatting sqref="B171:E171">
    <cfRule type="expression" dxfId="173" priority="264">
      <formula>$B$167&lt;&gt;""</formula>
    </cfRule>
  </conditionalFormatting>
  <conditionalFormatting sqref="B173:E173">
    <cfRule type="expression" dxfId="172" priority="265">
      <formula>$B$173&lt;&gt;""</formula>
    </cfRule>
  </conditionalFormatting>
  <conditionalFormatting sqref="B176:E176">
    <cfRule type="expression" dxfId="171" priority="270">
      <formula>$B$173&lt;&gt;""</formula>
    </cfRule>
  </conditionalFormatting>
  <conditionalFormatting sqref="B177:E177">
    <cfRule type="expression" dxfId="170" priority="275">
      <formula>$B$173&lt;&gt;""</formula>
    </cfRule>
  </conditionalFormatting>
  <conditionalFormatting sqref="B179:E179">
    <cfRule type="expression" dxfId="169" priority="276">
      <formula>$B$179&lt;&gt;""</formula>
    </cfRule>
  </conditionalFormatting>
  <conditionalFormatting sqref="B182:E182">
    <cfRule type="expression" dxfId="168" priority="281">
      <formula>$B$179&lt;&gt;""</formula>
    </cfRule>
  </conditionalFormatting>
  <conditionalFormatting sqref="B183:E183">
    <cfRule type="expression" dxfId="167" priority="286">
      <formula>$B$179&lt;&gt;""</formula>
    </cfRule>
  </conditionalFormatting>
  <conditionalFormatting sqref="B185:E185">
    <cfRule type="expression" dxfId="166" priority="287">
      <formula>$B$185&lt;&gt;""</formula>
    </cfRule>
  </conditionalFormatting>
  <conditionalFormatting sqref="B188:E188">
    <cfRule type="expression" dxfId="165" priority="292">
      <formula>$B$185&lt;&gt;""</formula>
    </cfRule>
  </conditionalFormatting>
  <conditionalFormatting sqref="B189:E189">
    <cfRule type="expression" dxfId="164" priority="297">
      <formula>$B$185&lt;&gt;""</formula>
    </cfRule>
  </conditionalFormatting>
  <conditionalFormatting sqref="B191:E191">
    <cfRule type="expression" dxfId="163" priority="298">
      <formula>$B$191&lt;&gt;""</formula>
    </cfRule>
  </conditionalFormatting>
  <conditionalFormatting sqref="B194:E194">
    <cfRule type="expression" dxfId="162" priority="303">
      <formula>$B$191&lt;&gt;""</formula>
    </cfRule>
  </conditionalFormatting>
  <conditionalFormatting sqref="B195:E195">
    <cfRule type="expression" dxfId="161" priority="308">
      <formula>$B$191&lt;&gt;""</formula>
    </cfRule>
  </conditionalFormatting>
  <conditionalFormatting sqref="B197:E197">
    <cfRule type="expression" dxfId="160" priority="309">
      <formula>$B$197&lt;&gt;""</formula>
    </cfRule>
  </conditionalFormatting>
  <conditionalFormatting sqref="B200:E200">
    <cfRule type="expression" dxfId="159" priority="314">
      <formula>$B$197&lt;&gt;""</formula>
    </cfRule>
  </conditionalFormatting>
  <conditionalFormatting sqref="B201:E201">
    <cfRule type="expression" dxfId="158" priority="319">
      <formula>$B$197&lt;&gt;""</formula>
    </cfRule>
  </conditionalFormatting>
  <conditionalFormatting sqref="B203:E203">
    <cfRule type="expression" dxfId="157" priority="320">
      <formula>$B$203&lt;&gt;""</formula>
    </cfRule>
  </conditionalFormatting>
  <conditionalFormatting sqref="B206:E206">
    <cfRule type="expression" dxfId="156" priority="325">
      <formula>$B$203&lt;&gt;""</formula>
    </cfRule>
  </conditionalFormatting>
  <conditionalFormatting sqref="B207:E207">
    <cfRule type="expression" dxfId="155" priority="330">
      <formula>$B$203&lt;&gt;""</formula>
    </cfRule>
  </conditionalFormatting>
  <conditionalFormatting sqref="B209:E209">
    <cfRule type="expression" dxfId="154" priority="331">
      <formula>$B$209&lt;&gt;""</formula>
    </cfRule>
  </conditionalFormatting>
  <conditionalFormatting sqref="B212:E212">
    <cfRule type="expression" dxfId="153" priority="336">
      <formula>$B$209&lt;&gt;""</formula>
    </cfRule>
  </conditionalFormatting>
  <conditionalFormatting sqref="B213:E213">
    <cfRule type="expression" dxfId="152" priority="341">
      <formula>$B$209&lt;&gt;""</formula>
    </cfRule>
  </conditionalFormatting>
  <conditionalFormatting sqref="B215:E215">
    <cfRule type="expression" dxfId="151" priority="342">
      <formula>$B$215&lt;&gt;""</formula>
    </cfRule>
  </conditionalFormatting>
  <conditionalFormatting sqref="B218:E218">
    <cfRule type="expression" dxfId="150" priority="347">
      <formula>$B$215&lt;&gt;""</formula>
    </cfRule>
  </conditionalFormatting>
  <conditionalFormatting sqref="B219:E219">
    <cfRule type="expression" dxfId="149" priority="352">
      <formula>$B$215&lt;&gt;""</formula>
    </cfRule>
  </conditionalFormatting>
  <conditionalFormatting sqref="B221:E221">
    <cfRule type="expression" dxfId="148" priority="353">
      <formula>$B$221&lt;&gt;""</formula>
    </cfRule>
  </conditionalFormatting>
  <conditionalFormatting sqref="B224:E224">
    <cfRule type="expression" dxfId="147" priority="358">
      <formula>$B$221&lt;&gt;""</formula>
    </cfRule>
  </conditionalFormatting>
  <conditionalFormatting sqref="B225:E225">
    <cfRule type="expression" dxfId="146" priority="363">
      <formula>$B$221&lt;&gt;""</formula>
    </cfRule>
  </conditionalFormatting>
  <conditionalFormatting sqref="B227:E227">
    <cfRule type="expression" dxfId="145" priority="364">
      <formula>$B$227&lt;&gt;""</formula>
    </cfRule>
  </conditionalFormatting>
  <conditionalFormatting sqref="B230:E230">
    <cfRule type="expression" dxfId="144" priority="369">
      <formula>$B$227&lt;&gt;""</formula>
    </cfRule>
  </conditionalFormatting>
  <conditionalFormatting sqref="B231:E231">
    <cfRule type="expression" dxfId="143" priority="374">
      <formula>$B$227&lt;&gt;""</formula>
    </cfRule>
  </conditionalFormatting>
  <conditionalFormatting sqref="B233:E233">
    <cfRule type="expression" dxfId="142" priority="375">
      <formula>$B$233&lt;&gt;""</formula>
    </cfRule>
  </conditionalFormatting>
  <conditionalFormatting sqref="B236:E236">
    <cfRule type="expression" dxfId="141" priority="380">
      <formula>$B$233&lt;&gt;""</formula>
    </cfRule>
  </conditionalFormatting>
  <conditionalFormatting sqref="B237:E237">
    <cfRule type="expression" dxfId="140" priority="385">
      <formula>$B$233&lt;&gt;""</formula>
    </cfRule>
  </conditionalFormatting>
  <conditionalFormatting sqref="C30:C31">
    <cfRule type="expression" dxfId="139" priority="7">
      <formula>$B$29&lt;&gt;""</formula>
    </cfRule>
  </conditionalFormatting>
  <conditionalFormatting sqref="C36:C37">
    <cfRule type="expression" dxfId="138" priority="18">
      <formula>$B$35&lt;&gt;""</formula>
    </cfRule>
  </conditionalFormatting>
  <conditionalFormatting sqref="C42:C43">
    <cfRule type="expression" dxfId="137" priority="29">
      <formula>$B$41&lt;&gt;""</formula>
    </cfRule>
  </conditionalFormatting>
  <conditionalFormatting sqref="C48:C49">
    <cfRule type="expression" dxfId="136" priority="40">
      <formula>$B$47&lt;&gt;""</formula>
    </cfRule>
  </conditionalFormatting>
  <conditionalFormatting sqref="C54:C55">
    <cfRule type="expression" dxfId="135" priority="51">
      <formula>$B$53&lt;&gt;""</formula>
    </cfRule>
  </conditionalFormatting>
  <conditionalFormatting sqref="C60:C61">
    <cfRule type="expression" dxfId="134" priority="62">
      <formula>$B$59&lt;&gt;""</formula>
    </cfRule>
  </conditionalFormatting>
  <conditionalFormatting sqref="C66:C67">
    <cfRule type="expression" dxfId="133" priority="73">
      <formula>$B$65&lt;&gt;""</formula>
    </cfRule>
  </conditionalFormatting>
  <conditionalFormatting sqref="C72:C73">
    <cfRule type="expression" dxfId="132" priority="84">
      <formula>$B$71&lt;&gt;""</formula>
    </cfRule>
  </conditionalFormatting>
  <conditionalFormatting sqref="C78:C79">
    <cfRule type="expression" dxfId="131" priority="95">
      <formula>$B$77&lt;&gt;""</formula>
    </cfRule>
  </conditionalFormatting>
  <conditionalFormatting sqref="C84:C85">
    <cfRule type="expression" dxfId="130" priority="106">
      <formula>$B$83&lt;&gt;""</formula>
    </cfRule>
  </conditionalFormatting>
  <conditionalFormatting sqref="C90:C91">
    <cfRule type="expression" dxfId="129" priority="117">
      <formula>$B$89&lt;&gt;""</formula>
    </cfRule>
  </conditionalFormatting>
  <conditionalFormatting sqref="C96:C97">
    <cfRule type="expression" dxfId="128" priority="128">
      <formula>$B$95&lt;&gt;""</formula>
    </cfRule>
  </conditionalFormatting>
  <conditionalFormatting sqref="C102:C103">
    <cfRule type="expression" dxfId="127" priority="139">
      <formula>$B$101&lt;&gt;""</formula>
    </cfRule>
  </conditionalFormatting>
  <conditionalFormatting sqref="C108:C109">
    <cfRule type="expression" dxfId="126" priority="150">
      <formula>$B$107&lt;&gt;""</formula>
    </cfRule>
  </conditionalFormatting>
  <conditionalFormatting sqref="C114:C115">
    <cfRule type="expression" dxfId="125" priority="161">
      <formula>$B$113&lt;&gt;""</formula>
    </cfRule>
  </conditionalFormatting>
  <conditionalFormatting sqref="C120:C121">
    <cfRule type="expression" dxfId="124" priority="172">
      <formula>$B$119&lt;&gt;""</formula>
    </cfRule>
  </conditionalFormatting>
  <conditionalFormatting sqref="C126:C127">
    <cfRule type="expression" dxfId="123" priority="183">
      <formula>$B$125&lt;&gt;""</formula>
    </cfRule>
  </conditionalFormatting>
  <conditionalFormatting sqref="C132:C133">
    <cfRule type="expression" dxfId="122" priority="194">
      <formula>$B$131&lt;&gt;""</formula>
    </cfRule>
  </conditionalFormatting>
  <conditionalFormatting sqref="C138:C139">
    <cfRule type="expression" dxfId="121" priority="205">
      <formula>$B$137&lt;&gt;""</formula>
    </cfRule>
  </conditionalFormatting>
  <conditionalFormatting sqref="C144:C145">
    <cfRule type="expression" dxfId="120" priority="216">
      <formula>$B$143&lt;&gt;""</formula>
    </cfRule>
  </conditionalFormatting>
  <conditionalFormatting sqref="C150:C151">
    <cfRule type="expression" dxfId="119" priority="227">
      <formula>$B$149&lt;&gt;""</formula>
    </cfRule>
  </conditionalFormatting>
  <conditionalFormatting sqref="C156:C157">
    <cfRule type="expression" dxfId="118" priority="238">
      <formula>$B$155&lt;&gt;""</formula>
    </cfRule>
  </conditionalFormatting>
  <conditionalFormatting sqref="C162:C163">
    <cfRule type="expression" dxfId="117" priority="249">
      <formula>$B$161&lt;&gt;""</formula>
    </cfRule>
  </conditionalFormatting>
  <conditionalFormatting sqref="C168:C169">
    <cfRule type="expression" dxfId="116" priority="260">
      <formula>$B$167&lt;&gt;""</formula>
    </cfRule>
  </conditionalFormatting>
  <conditionalFormatting sqref="C174:C175">
    <cfRule type="expression" dxfId="115" priority="271">
      <formula>$B$173&lt;&gt;""</formula>
    </cfRule>
  </conditionalFormatting>
  <conditionalFormatting sqref="C180:C181">
    <cfRule type="expression" dxfId="114" priority="282">
      <formula>$B$179&lt;&gt;""</formula>
    </cfRule>
  </conditionalFormatting>
  <conditionalFormatting sqref="C186:C187">
    <cfRule type="expression" dxfId="113" priority="293">
      <formula>$B$185&lt;&gt;""</formula>
    </cfRule>
  </conditionalFormatting>
  <conditionalFormatting sqref="C192:C193">
    <cfRule type="expression" dxfId="112" priority="304">
      <formula>$B$191&lt;&gt;""</formula>
    </cfRule>
  </conditionalFormatting>
  <conditionalFormatting sqref="C198:C199">
    <cfRule type="expression" dxfId="111" priority="315">
      <formula>$B$197&lt;&gt;""</formula>
    </cfRule>
  </conditionalFormatting>
  <conditionalFormatting sqref="C204:C205">
    <cfRule type="expression" dxfId="110" priority="326">
      <formula>$B$203&lt;&gt;""</formula>
    </cfRule>
  </conditionalFormatting>
  <conditionalFormatting sqref="C210:C211">
    <cfRule type="expression" dxfId="109" priority="337">
      <formula>$B$209&lt;&gt;""</formula>
    </cfRule>
  </conditionalFormatting>
  <conditionalFormatting sqref="C216:C217">
    <cfRule type="expression" dxfId="108" priority="348">
      <formula>$B$215&lt;&gt;""</formula>
    </cfRule>
  </conditionalFormatting>
  <conditionalFormatting sqref="C222:C223">
    <cfRule type="expression" dxfId="107" priority="359">
      <formula>$B$221&lt;&gt;""</formula>
    </cfRule>
  </conditionalFormatting>
  <conditionalFormatting sqref="C228:C229">
    <cfRule type="expression" dxfId="106" priority="370">
      <formula>$B$227&lt;&gt;""</formula>
    </cfRule>
  </conditionalFormatting>
  <conditionalFormatting sqref="C234:C235">
    <cfRule type="expression" dxfId="105" priority="381">
      <formula>$B$233&lt;&gt;""</formula>
    </cfRule>
  </conditionalFormatting>
  <conditionalFormatting sqref="D30:D31">
    <cfRule type="expression" dxfId="104" priority="4">
      <formula>$B$29&lt;&gt;""</formula>
    </cfRule>
  </conditionalFormatting>
  <conditionalFormatting sqref="D36:D37">
    <cfRule type="expression" dxfId="103" priority="15">
      <formula>$B$35&lt;&gt;""</formula>
    </cfRule>
  </conditionalFormatting>
  <conditionalFormatting sqref="D42:D43">
    <cfRule type="expression" dxfId="102" priority="26">
      <formula>$B$41&lt;&gt;""</formula>
    </cfRule>
  </conditionalFormatting>
  <conditionalFormatting sqref="D48:D49">
    <cfRule type="expression" dxfId="101" priority="37">
      <formula>$B$47&lt;&gt;""</formula>
    </cfRule>
  </conditionalFormatting>
  <conditionalFormatting sqref="D54:D55">
    <cfRule type="expression" dxfId="100" priority="48">
      <formula>$B$53&lt;&gt;""</formula>
    </cfRule>
  </conditionalFormatting>
  <conditionalFormatting sqref="D60:D61">
    <cfRule type="expression" dxfId="99" priority="59">
      <formula>$B$59&lt;&gt;""</formula>
    </cfRule>
  </conditionalFormatting>
  <conditionalFormatting sqref="D66:D67">
    <cfRule type="expression" dxfId="98" priority="70">
      <formula>$B$65&lt;&gt;""</formula>
    </cfRule>
  </conditionalFormatting>
  <conditionalFormatting sqref="D72:D73">
    <cfRule type="expression" dxfId="97" priority="81">
      <formula>$B$71&lt;&gt;""</formula>
    </cfRule>
  </conditionalFormatting>
  <conditionalFormatting sqref="D78:D79">
    <cfRule type="expression" dxfId="96" priority="92">
      <formula>$B$77&lt;&gt;""</formula>
    </cfRule>
  </conditionalFormatting>
  <conditionalFormatting sqref="D84:D85">
    <cfRule type="expression" dxfId="95" priority="103">
      <formula>$B$83&lt;&gt;""</formula>
    </cfRule>
  </conditionalFormatting>
  <conditionalFormatting sqref="D90:D91">
    <cfRule type="expression" dxfId="94" priority="114">
      <formula>$B$89&lt;&gt;""</formula>
    </cfRule>
  </conditionalFormatting>
  <conditionalFormatting sqref="D96:D97">
    <cfRule type="expression" dxfId="93" priority="125">
      <formula>$B$95&lt;&gt;""</formula>
    </cfRule>
  </conditionalFormatting>
  <conditionalFormatting sqref="D102:D103">
    <cfRule type="expression" dxfId="92" priority="136">
      <formula>$B$101&lt;&gt;""</formula>
    </cfRule>
  </conditionalFormatting>
  <conditionalFormatting sqref="D108:D109">
    <cfRule type="expression" dxfId="91" priority="147">
      <formula>$B$107&lt;&gt;""</formula>
    </cfRule>
  </conditionalFormatting>
  <conditionalFormatting sqref="D114:D115">
    <cfRule type="expression" dxfId="90" priority="158">
      <formula>$B$113&lt;&gt;""</formula>
    </cfRule>
  </conditionalFormatting>
  <conditionalFormatting sqref="D120:D121">
    <cfRule type="expression" dxfId="89" priority="169">
      <formula>$B$119&lt;&gt;""</formula>
    </cfRule>
  </conditionalFormatting>
  <conditionalFormatting sqref="D126:D127">
    <cfRule type="expression" dxfId="88" priority="180">
      <formula>$B$125&lt;&gt;""</formula>
    </cfRule>
  </conditionalFormatting>
  <conditionalFormatting sqref="D132:D133">
    <cfRule type="expression" dxfId="87" priority="191">
      <formula>$B$131&lt;&gt;""</formula>
    </cfRule>
  </conditionalFormatting>
  <conditionalFormatting sqref="D138:D139">
    <cfRule type="expression" dxfId="86" priority="202">
      <formula>$B$137&lt;&gt;""</formula>
    </cfRule>
  </conditionalFormatting>
  <conditionalFormatting sqref="D144:D145">
    <cfRule type="expression" dxfId="85" priority="213">
      <formula>$B$143&lt;&gt;""</formula>
    </cfRule>
  </conditionalFormatting>
  <conditionalFormatting sqref="D150:D151">
    <cfRule type="expression" dxfId="84" priority="224">
      <formula>$B$149&lt;&gt;""</formula>
    </cfRule>
  </conditionalFormatting>
  <conditionalFormatting sqref="D156:D157">
    <cfRule type="expression" dxfId="83" priority="235">
      <formula>$B$155&lt;&gt;""</formula>
    </cfRule>
  </conditionalFormatting>
  <conditionalFormatting sqref="D162:D163">
    <cfRule type="expression" dxfId="82" priority="246">
      <formula>$B$161&lt;&gt;""</formula>
    </cfRule>
  </conditionalFormatting>
  <conditionalFormatting sqref="D168:D169">
    <cfRule type="expression" dxfId="81" priority="257">
      <formula>$B$167&lt;&gt;""</formula>
    </cfRule>
  </conditionalFormatting>
  <conditionalFormatting sqref="D174:D175">
    <cfRule type="expression" dxfId="80" priority="268">
      <formula>$B$173&lt;&gt;""</formula>
    </cfRule>
  </conditionalFormatting>
  <conditionalFormatting sqref="D180:D181">
    <cfRule type="expression" dxfId="79" priority="279">
      <formula>$B$179&lt;&gt;""</formula>
    </cfRule>
  </conditionalFormatting>
  <conditionalFormatting sqref="D186:D187">
    <cfRule type="expression" dxfId="78" priority="290">
      <formula>$B$185&lt;&gt;""</formula>
    </cfRule>
  </conditionalFormatting>
  <conditionalFormatting sqref="D192:D193">
    <cfRule type="expression" dxfId="77" priority="301">
      <formula>$B$191&lt;&gt;""</formula>
    </cfRule>
  </conditionalFormatting>
  <conditionalFormatting sqref="D198:D199">
    <cfRule type="expression" dxfId="76" priority="312">
      <formula>$B$197&lt;&gt;""</formula>
    </cfRule>
  </conditionalFormatting>
  <conditionalFormatting sqref="D204:D205">
    <cfRule type="expression" dxfId="75" priority="323">
      <formula>$B$203&lt;&gt;""</formula>
    </cfRule>
  </conditionalFormatting>
  <conditionalFormatting sqref="D210:D211">
    <cfRule type="expression" dxfId="74" priority="334">
      <formula>$B$209&lt;&gt;""</formula>
    </cfRule>
  </conditionalFormatting>
  <conditionalFormatting sqref="D216:D217">
    <cfRule type="expression" dxfId="73" priority="345">
      <formula>$B$215&lt;&gt;""</formula>
    </cfRule>
  </conditionalFormatting>
  <conditionalFormatting sqref="D222:D223">
    <cfRule type="expression" dxfId="72" priority="356">
      <formula>$B$221&lt;&gt;""</formula>
    </cfRule>
  </conditionalFormatting>
  <conditionalFormatting sqref="D228:D229">
    <cfRule type="expression" dxfId="71" priority="367">
      <formula>$B$227&lt;&gt;""</formula>
    </cfRule>
  </conditionalFormatting>
  <conditionalFormatting sqref="D234:D235">
    <cfRule type="expression" dxfId="70" priority="378">
      <formula>$B$233&lt;&gt;""</formula>
    </cfRule>
  </conditionalFormatting>
  <conditionalFormatting sqref="E30:E31">
    <cfRule type="expression" dxfId="69" priority="9">
      <formula>$B$29&lt;&gt;""</formula>
    </cfRule>
  </conditionalFormatting>
  <conditionalFormatting sqref="E36:E37">
    <cfRule type="expression" dxfId="68" priority="20">
      <formula>$B$35&lt;&gt;""</formula>
    </cfRule>
  </conditionalFormatting>
  <conditionalFormatting sqref="E42:E43">
    <cfRule type="expression" dxfId="67" priority="31">
      <formula>$B$41&lt;&gt;""</formula>
    </cfRule>
  </conditionalFormatting>
  <conditionalFormatting sqref="E48:E49">
    <cfRule type="expression" dxfId="66" priority="42">
      <formula>$B$47&lt;&gt;""</formula>
    </cfRule>
  </conditionalFormatting>
  <conditionalFormatting sqref="E54:E55">
    <cfRule type="expression" dxfId="65" priority="53">
      <formula>$B$53&lt;&gt;""</formula>
    </cfRule>
  </conditionalFormatting>
  <conditionalFormatting sqref="E60:E61">
    <cfRule type="expression" dxfId="64" priority="64">
      <formula>$B$59&lt;&gt;""</formula>
    </cfRule>
  </conditionalFormatting>
  <conditionalFormatting sqref="E66:E67">
    <cfRule type="expression" dxfId="63" priority="75">
      <formula>$B$65&lt;&gt;""</formula>
    </cfRule>
  </conditionalFormatting>
  <conditionalFormatting sqref="E72:E73">
    <cfRule type="expression" dxfId="62" priority="86">
      <formula>$B$71&lt;&gt;""</formula>
    </cfRule>
  </conditionalFormatting>
  <conditionalFormatting sqref="E78:E79">
    <cfRule type="expression" dxfId="61" priority="97">
      <formula>$B$77&lt;&gt;""</formula>
    </cfRule>
  </conditionalFormatting>
  <conditionalFormatting sqref="E84:E85">
    <cfRule type="expression" dxfId="60" priority="108">
      <formula>$B$83&lt;&gt;""</formula>
    </cfRule>
  </conditionalFormatting>
  <conditionalFormatting sqref="E90:E91">
    <cfRule type="expression" dxfId="59" priority="119">
      <formula>$B$89&lt;&gt;""</formula>
    </cfRule>
  </conditionalFormatting>
  <conditionalFormatting sqref="E96:E97">
    <cfRule type="expression" dxfId="58" priority="130">
      <formula>$B$95&lt;&gt;""</formula>
    </cfRule>
  </conditionalFormatting>
  <conditionalFormatting sqref="E102:E103">
    <cfRule type="expression" dxfId="57" priority="141">
      <formula>$B$101&lt;&gt;""</formula>
    </cfRule>
  </conditionalFormatting>
  <conditionalFormatting sqref="E108:E109">
    <cfRule type="expression" dxfId="56" priority="152">
      <formula>$B$107&lt;&gt;""</formula>
    </cfRule>
  </conditionalFormatting>
  <conditionalFormatting sqref="E114:E115">
    <cfRule type="expression" dxfId="55" priority="163">
      <formula>$B$113&lt;&gt;""</formula>
    </cfRule>
  </conditionalFormatting>
  <conditionalFormatting sqref="E120:E121">
    <cfRule type="expression" dxfId="54" priority="174">
      <formula>$B$119&lt;&gt;""</formula>
    </cfRule>
  </conditionalFormatting>
  <conditionalFormatting sqref="E126:E127">
    <cfRule type="expression" dxfId="53" priority="185">
      <formula>$B$125&lt;&gt;""</formula>
    </cfRule>
  </conditionalFormatting>
  <conditionalFormatting sqref="E132:E133">
    <cfRule type="expression" dxfId="52" priority="196">
      <formula>$B$131&lt;&gt;""</formula>
    </cfRule>
  </conditionalFormatting>
  <conditionalFormatting sqref="E138:E139">
    <cfRule type="expression" dxfId="51" priority="207">
      <formula>$B$137&lt;&gt;""</formula>
    </cfRule>
  </conditionalFormatting>
  <conditionalFormatting sqref="E144:E145">
    <cfRule type="expression" dxfId="50" priority="218">
      <formula>$B$143&lt;&gt;""</formula>
    </cfRule>
  </conditionalFormatting>
  <conditionalFormatting sqref="E150:E151">
    <cfRule type="expression" dxfId="49" priority="229">
      <formula>$B$149&lt;&gt;""</formula>
    </cfRule>
  </conditionalFormatting>
  <conditionalFormatting sqref="E156:E157">
    <cfRule type="expression" dxfId="48" priority="240">
      <formula>$B$155&lt;&gt;""</formula>
    </cfRule>
  </conditionalFormatting>
  <conditionalFormatting sqref="E162:E163">
    <cfRule type="expression" dxfId="47" priority="251">
      <formula>$B$161&lt;&gt;""</formula>
    </cfRule>
  </conditionalFormatting>
  <conditionalFormatting sqref="E168:E169">
    <cfRule type="expression" dxfId="46" priority="262">
      <formula>$B$167&lt;&gt;""</formula>
    </cfRule>
  </conditionalFormatting>
  <conditionalFormatting sqref="E174:E175">
    <cfRule type="expression" dxfId="45" priority="273">
      <formula>$B$173&lt;&gt;""</formula>
    </cfRule>
  </conditionalFormatting>
  <conditionalFormatting sqref="E180:E181">
    <cfRule type="expression" dxfId="44" priority="284">
      <formula>$B$179&lt;&gt;""</formula>
    </cfRule>
  </conditionalFormatting>
  <conditionalFormatting sqref="E186:E187">
    <cfRule type="expression" dxfId="43" priority="295">
      <formula>$B$185&lt;&gt;""</formula>
    </cfRule>
  </conditionalFormatting>
  <conditionalFormatting sqref="E192:E193">
    <cfRule type="expression" dxfId="42" priority="306">
      <formula>$B$191&lt;&gt;""</formula>
    </cfRule>
  </conditionalFormatting>
  <conditionalFormatting sqref="E198:E199">
    <cfRule type="expression" dxfId="41" priority="317">
      <formula>$B$197&lt;&gt;""</formula>
    </cfRule>
  </conditionalFormatting>
  <conditionalFormatting sqref="E204:E205">
    <cfRule type="expression" dxfId="40" priority="328">
      <formula>$B$203&lt;&gt;""</formula>
    </cfRule>
  </conditionalFormatting>
  <conditionalFormatting sqref="E210:E211">
    <cfRule type="expression" dxfId="39" priority="339">
      <formula>$B$209&lt;&gt;""</formula>
    </cfRule>
  </conditionalFormatting>
  <conditionalFormatting sqref="E216:E217">
    <cfRule type="expression" dxfId="38" priority="350">
      <formula>$B$215&lt;&gt;""</formula>
    </cfRule>
  </conditionalFormatting>
  <conditionalFormatting sqref="E222:E223">
    <cfRule type="expression" dxfId="37" priority="361">
      <formula>$B$221&lt;&gt;""</formula>
    </cfRule>
  </conditionalFormatting>
  <conditionalFormatting sqref="E228:E229">
    <cfRule type="expression" dxfId="36" priority="372">
      <formula>$B$227&lt;&gt;""</formula>
    </cfRule>
  </conditionalFormatting>
  <conditionalFormatting sqref="E234:E235">
    <cfRule type="expression" dxfId="35" priority="383">
      <formula>$B$233&lt;&gt;""</formula>
    </cfRule>
  </conditionalFormatting>
  <dataValidations count="1">
    <dataValidation type="list" allowBlank="1" sqref="C5" xr:uid="{00000000-0002-0000-0100-000000000000}">
      <formula1>"Kỹ thuật điều khiển và tự động hóa,Công nghệ kỹ thuật nhiệt,Công nghệ kỹ thuật cơ điện tử,Công nghệ kỹ thuật năng lượng tái tạo,Cơ khí nông lâm,Công nghệ kỹ thuật ô tô"</formula1>
    </dataValidation>
  </dataValidations>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J27"/>
  <sheetViews>
    <sheetView showGridLines="0" workbookViewId="0"/>
  </sheetViews>
  <sheetFormatPr defaultRowHeight="14.5" x14ac:dyDescent="0.35"/>
  <cols>
    <col min="1" max="1" width="12" customWidth="1"/>
    <col min="2" max="2" width="108" customWidth="1"/>
    <col min="3" max="3" width="84" customWidth="1"/>
    <col min="4" max="5" width="12" customWidth="1"/>
    <col min="6" max="6" width="41" customWidth="1"/>
    <col min="7" max="7" width="57" customWidth="1"/>
    <col min="8" max="10" width="12" customWidth="1"/>
  </cols>
  <sheetData>
    <row r="2" spans="2:10" ht="25" x14ac:dyDescent="0.7">
      <c r="B2" s="2" t="s">
        <v>510</v>
      </c>
    </row>
    <row r="3" spans="2:10" ht="16" x14ac:dyDescent="0.45">
      <c r="B3" s="3" t="s">
        <v>511</v>
      </c>
    </row>
    <row r="5" spans="2:10" x14ac:dyDescent="0.35">
      <c r="C5" s="25">
        <f>COUNTA(Data_Source!$B$2:$B$1000)</f>
        <v>62</v>
      </c>
      <c r="D5" s="26"/>
      <c r="E5" s="25">
        <f>COUNTIFS(Data_Source!$K$2:$K$1000, "*Đang có việc làm*")</f>
        <v>58</v>
      </c>
      <c r="F5" s="26"/>
      <c r="G5" s="27">
        <f>IFERROR(E5/C5, 0)</f>
        <v>0.93548387096774188</v>
      </c>
      <c r="H5" s="26"/>
      <c r="I5" s="27">
        <f>IFERROR(COUNTIFS(Data_Source!$R$2:$R$1000, "Đúng chuyên ngành đào tạo")/E5, 0)</f>
        <v>0.5</v>
      </c>
      <c r="J5" s="26"/>
    </row>
    <row r="6" spans="2:10" x14ac:dyDescent="0.35">
      <c r="C6" s="28" t="s">
        <v>512</v>
      </c>
      <c r="D6" s="26"/>
      <c r="E6" s="28" t="s">
        <v>486</v>
      </c>
      <c r="F6" s="26"/>
      <c r="G6" s="28" t="s">
        <v>487</v>
      </c>
      <c r="H6" s="26"/>
      <c r="I6" s="28" t="s">
        <v>488</v>
      </c>
      <c r="J6" s="26"/>
    </row>
    <row r="9" spans="2:10" ht="17.5" x14ac:dyDescent="0.45">
      <c r="B9" s="5" t="s">
        <v>513</v>
      </c>
      <c r="F9" s="5" t="s">
        <v>514</v>
      </c>
    </row>
    <row r="11" spans="2:10" ht="16" x14ac:dyDescent="0.45">
      <c r="B11" s="6" t="s">
        <v>14</v>
      </c>
      <c r="C11" s="7" t="s">
        <v>492</v>
      </c>
      <c r="D11" s="7" t="s">
        <v>515</v>
      </c>
      <c r="F11" s="6" t="s">
        <v>16</v>
      </c>
      <c r="G11" s="7" t="s">
        <v>492</v>
      </c>
      <c r="H11" s="7" t="s">
        <v>515</v>
      </c>
    </row>
    <row r="12" spans="2:10" ht="16" x14ac:dyDescent="0.45">
      <c r="B12" s="8" t="s">
        <v>90</v>
      </c>
      <c r="C12" s="10">
        <f>COUNTIF(Data_Source!$O$2:$O$1000, "Doanh nghiệp tư nhân, cổ phẩn, TNHH")</f>
        <v>39</v>
      </c>
      <c r="D12" s="18">
        <f>C12/$E$5</f>
        <v>0.67241379310344829</v>
      </c>
      <c r="F12" s="8" t="s">
        <v>165</v>
      </c>
      <c r="G12" s="10">
        <f>COUNTIF(Data_Source!$Q$2:$Q$1000, "Dưới 6 triệu")</f>
        <v>1</v>
      </c>
      <c r="H12" s="18">
        <f>G12/$E$5</f>
        <v>1.7241379310344827E-2</v>
      </c>
    </row>
    <row r="13" spans="2:10" ht="16" x14ac:dyDescent="0.45">
      <c r="B13" s="12" t="s">
        <v>129</v>
      </c>
      <c r="C13" s="14">
        <f>COUNTIF(Data_Source!$O$2:$O$1000, "Tổ chức/doanh nghiệp nước ngoài, liên doanh")</f>
        <v>14</v>
      </c>
      <c r="D13" s="19">
        <f>C13/$E$5</f>
        <v>0.2413793103448276</v>
      </c>
      <c r="F13" s="12" t="s">
        <v>74</v>
      </c>
      <c r="G13" s="14">
        <f>COUNTIF(Data_Source!$Q$2:$Q$1000, "Từ 6 - 10 triệu")</f>
        <v>11</v>
      </c>
      <c r="H13" s="19">
        <f>G13/$E$5</f>
        <v>0.18965517241379309</v>
      </c>
    </row>
    <row r="14" spans="2:10" ht="16" x14ac:dyDescent="0.45">
      <c r="B14" s="8" t="s">
        <v>63</v>
      </c>
      <c r="C14" s="10">
        <f>COUNTIF(Data_Source!$O$2:$O$1000, "Trường học, viện nghiên cứu")</f>
        <v>5</v>
      </c>
      <c r="D14" s="18">
        <f>C14/$E$5</f>
        <v>8.6206896551724144E-2</v>
      </c>
      <c r="F14" s="8" t="s">
        <v>101</v>
      </c>
      <c r="G14" s="10">
        <f>COUNTIF(Data_Source!$Q$2:$Q$1000, "Từ 10 - 15 triệu")</f>
        <v>27</v>
      </c>
      <c r="H14" s="18">
        <f>G14/$E$5</f>
        <v>0.46551724137931033</v>
      </c>
    </row>
    <row r="15" spans="2:10" ht="16" x14ac:dyDescent="0.45">
      <c r="B15" s="12" t="s">
        <v>178</v>
      </c>
      <c r="C15" s="14">
        <f>COUNTIF(Data_Source!$O$2:$O$1000, "Cơ quan/doanh nghiệp nhà nước")</f>
        <v>2</v>
      </c>
      <c r="D15" s="19">
        <f>C15/$E$5</f>
        <v>3.4482758620689655E-2</v>
      </c>
      <c r="F15" s="12" t="s">
        <v>65</v>
      </c>
      <c r="G15" s="14">
        <f>COUNTIF(Data_Source!$Q$2:$Q$1000, "Từ 15 - 30 triệu")</f>
        <v>17</v>
      </c>
      <c r="H15" s="19">
        <f>G15/$E$5</f>
        <v>0.29310344827586204</v>
      </c>
    </row>
    <row r="16" spans="2:10" ht="16" x14ac:dyDescent="0.45">
      <c r="B16" s="8" t="s">
        <v>250</v>
      </c>
      <c r="C16" s="10">
        <f>COUNTIF(Data_Source!$O$2:$O$1000, "Cá nhân")</f>
        <v>1</v>
      </c>
      <c r="D16" s="18">
        <f>C16/$E$5</f>
        <v>1.7241379310344827E-2</v>
      </c>
      <c r="F16" s="8" t="s">
        <v>119</v>
      </c>
      <c r="G16" s="10">
        <f>COUNTIF(Data_Source!$Q$2:$Q$1000, "Trên 30 triệu")</f>
        <v>5</v>
      </c>
      <c r="H16" s="18">
        <f>G16/$E$5</f>
        <v>8.6206896551724144E-2</v>
      </c>
    </row>
    <row r="19" spans="2:4" ht="17.5" x14ac:dyDescent="0.45">
      <c r="B19" s="5" t="s">
        <v>516</v>
      </c>
    </row>
    <row r="21" spans="2:4" ht="16" x14ac:dyDescent="0.45">
      <c r="B21" s="6" t="s">
        <v>517</v>
      </c>
      <c r="C21" s="7" t="s">
        <v>492</v>
      </c>
      <c r="D21" s="7" t="s">
        <v>515</v>
      </c>
    </row>
    <row r="22" spans="2:4" ht="16" x14ac:dyDescent="0.45">
      <c r="B22" s="8" t="s">
        <v>87</v>
      </c>
      <c r="C22" s="10">
        <f>COUNTIF(Data_Source!$E$2:$E$1000, "Kỹ thuật điều khiển và tự động hóa")</f>
        <v>18</v>
      </c>
      <c r="D22" s="18">
        <f t="shared" ref="D22:D27" si="0">C22/$C$5</f>
        <v>0.29032258064516131</v>
      </c>
    </row>
    <row r="23" spans="2:4" ht="16" x14ac:dyDescent="0.45">
      <c r="B23" s="12" t="s">
        <v>239</v>
      </c>
      <c r="C23" s="14">
        <f>COUNTIF(Data_Source!$E$2:$E$1000, "Công nghệ kỹ thuật nhiệt")</f>
        <v>12</v>
      </c>
      <c r="D23" s="19">
        <f t="shared" si="0"/>
        <v>0.19354838709677419</v>
      </c>
    </row>
    <row r="24" spans="2:4" ht="16" x14ac:dyDescent="0.45">
      <c r="B24" s="8" t="s">
        <v>81</v>
      </c>
      <c r="C24" s="10">
        <f>COUNTIF(Data_Source!$E$2:$E$1000, "Công nghệ kỹ thuật cơ điện tử")</f>
        <v>11</v>
      </c>
      <c r="D24" s="18">
        <f t="shared" si="0"/>
        <v>0.17741935483870969</v>
      </c>
    </row>
    <row r="25" spans="2:4" ht="16" x14ac:dyDescent="0.45">
      <c r="B25" s="12" t="s">
        <v>203</v>
      </c>
      <c r="C25" s="14">
        <f>COUNTIF(Data_Source!$E$2:$E$1000, "Công nghệ kỹ thuật năng lượng tái tạo")</f>
        <v>9</v>
      </c>
      <c r="D25" s="19">
        <f t="shared" si="0"/>
        <v>0.14516129032258066</v>
      </c>
    </row>
    <row r="26" spans="2:4" ht="16" x14ac:dyDescent="0.45">
      <c r="B26" s="8" t="s">
        <v>54</v>
      </c>
      <c r="C26" s="10">
        <f>COUNTIF(Data_Source!$E$2:$E$1000, "Cơ khí nông lâm")</f>
        <v>7</v>
      </c>
      <c r="D26" s="18">
        <f t="shared" si="0"/>
        <v>0.11290322580645161</v>
      </c>
    </row>
    <row r="27" spans="2:4" ht="16" x14ac:dyDescent="0.45">
      <c r="B27" s="12" t="s">
        <v>396</v>
      </c>
      <c r="C27" s="14">
        <f>COUNTIF(Data_Source!$E$2:$E$1000, "Công nghệ kỹ thuật ô tô")</f>
        <v>3</v>
      </c>
      <c r="D27" s="19">
        <f t="shared" si="0"/>
        <v>4.8387096774193547E-2</v>
      </c>
    </row>
  </sheetData>
  <mergeCells count="8">
    <mergeCell ref="E6:F6"/>
    <mergeCell ref="C6:D6"/>
    <mergeCell ref="I6:J6"/>
    <mergeCell ref="C5:D5"/>
    <mergeCell ref="G5:H5"/>
    <mergeCell ref="E5:F5"/>
    <mergeCell ref="I5:J5"/>
    <mergeCell ref="G6:H6"/>
  </mergeCell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DongBoDuLieu">
                <anchor moveWithCells="1" sizeWithCells="1">
                  <from>
                    <xdr:col>10</xdr:col>
                    <xdr:colOff>63500</xdr:colOff>
                    <xdr:row>4</xdr:row>
                    <xdr:rowOff>63500</xdr:rowOff>
                  </from>
                  <to>
                    <xdr:col>13</xdr:col>
                    <xdr:colOff>12700</xdr:colOff>
                    <xdr:row>6</xdr:row>
                    <xdr:rowOff>101600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N18"/>
  <sheetViews>
    <sheetView showGridLines="0" workbookViewId="0"/>
  </sheetViews>
  <sheetFormatPr defaultRowHeight="14.5" x14ac:dyDescent="0.35"/>
  <cols>
    <col min="1" max="1" width="12" customWidth="1"/>
    <col min="2" max="2" width="87" customWidth="1"/>
    <col min="3" max="4" width="119" customWidth="1"/>
    <col min="5" max="6" width="109" customWidth="1"/>
    <col min="7" max="8" width="114" customWidth="1"/>
    <col min="9" max="10" width="122" customWidth="1"/>
    <col min="11" max="12" width="100" customWidth="1"/>
    <col min="13" max="14" width="108" customWidth="1"/>
  </cols>
  <sheetData>
    <row r="2" spans="2:14" ht="25" x14ac:dyDescent="0.7">
      <c r="B2" s="2" t="s">
        <v>518</v>
      </c>
    </row>
    <row r="3" spans="2:14" ht="16" x14ac:dyDescent="0.45">
      <c r="B3" s="3" t="s">
        <v>519</v>
      </c>
    </row>
    <row r="5" spans="2:14" x14ac:dyDescent="0.35">
      <c r="C5" s="29" t="s">
        <v>520</v>
      </c>
      <c r="D5" s="23"/>
      <c r="E5" s="29" t="s">
        <v>521</v>
      </c>
      <c r="F5" s="23"/>
      <c r="G5" s="29" t="s">
        <v>522</v>
      </c>
      <c r="H5" s="23"/>
      <c r="I5" s="29" t="s">
        <v>523</v>
      </c>
      <c r="J5" s="23"/>
      <c r="K5" s="29" t="s">
        <v>54</v>
      </c>
      <c r="L5" s="23"/>
      <c r="M5" s="29" t="s">
        <v>524</v>
      </c>
      <c r="N5" s="23"/>
    </row>
    <row r="6" spans="2:14" ht="16" x14ac:dyDescent="0.35">
      <c r="C6" s="7" t="s">
        <v>525</v>
      </c>
      <c r="D6" s="7" t="s">
        <v>526</v>
      </c>
      <c r="E6" s="7" t="s">
        <v>525</v>
      </c>
      <c r="F6" s="7" t="s">
        <v>526</v>
      </c>
      <c r="G6" s="7" t="s">
        <v>525</v>
      </c>
      <c r="H6" s="7" t="s">
        <v>526</v>
      </c>
      <c r="I6" s="7" t="s">
        <v>525</v>
      </c>
      <c r="J6" s="7" t="s">
        <v>526</v>
      </c>
      <c r="K6" s="7" t="s">
        <v>525</v>
      </c>
      <c r="L6" s="7" t="s">
        <v>526</v>
      </c>
      <c r="M6" s="7" t="s">
        <v>525</v>
      </c>
      <c r="N6" s="7" t="s">
        <v>526</v>
      </c>
    </row>
    <row r="7" spans="2:14" ht="16" x14ac:dyDescent="0.35">
      <c r="B7" s="20" t="s">
        <v>496</v>
      </c>
      <c r="C7" s="11">
        <f>IFERROR(AVERAGEIFS(Data_Source!$Z$2:$Z$1000, Data_Source!$E$2:$E$1000, "Kỹ thuật điều khiển và tự động hóa"), "")</f>
        <v>3.5882352941176472</v>
      </c>
      <c r="D7" s="11">
        <f>IFERROR(AVERAGEIFS(Data_Source!$AL$2:$AL$1000, Data_Source!$E$2:$E$1000, "Kỹ thuật điều khiển và tự động hóa"), "")</f>
        <v>3.9411764705882355</v>
      </c>
      <c r="E7" s="11">
        <f>IFERROR(AVERAGEIFS(Data_Source!$Z$2:$Z$1000, Data_Source!$E$2:$E$1000, "Công nghệ kỹ thuật nhiệt"), "")</f>
        <v>3.5</v>
      </c>
      <c r="F7" s="11">
        <f>IFERROR(AVERAGEIFS(Data_Source!$AL$2:$AL$1000, Data_Source!$E$2:$E$1000, "Công nghệ kỹ thuật nhiệt"), "")</f>
        <v>3.4545454545454546</v>
      </c>
      <c r="G7" s="11">
        <f>IFERROR(AVERAGEIFS(Data_Source!$Z$2:$Z$1000, Data_Source!$E$2:$E$1000, "Công nghệ kỹ thuật cơ điện tử"), "")</f>
        <v>3.2727272727272729</v>
      </c>
      <c r="H7" s="11">
        <f>IFERROR(AVERAGEIFS(Data_Source!$AL$2:$AL$1000, Data_Source!$E$2:$E$1000, "Công nghệ kỹ thuật cơ điện tử"), "")</f>
        <v>3.6363636363636362</v>
      </c>
      <c r="I7" s="11">
        <f>IFERROR(AVERAGEIFS(Data_Source!$Z$2:$Z$1000, Data_Source!$E$2:$E$1000, "Công nghệ kỹ thuật năng lượng tái tạo"), "")</f>
        <v>3.7777777777777777</v>
      </c>
      <c r="J7" s="11">
        <f>IFERROR(AVERAGEIFS(Data_Source!$AL$2:$AL$1000, Data_Source!$E$2:$E$1000, "Công nghệ kỹ thuật năng lượng tái tạo"), "")</f>
        <v>4.1111111111111107</v>
      </c>
      <c r="K7" s="11">
        <f>IFERROR(AVERAGEIFS(Data_Source!$Z$2:$Z$1000, Data_Source!$E$2:$E$1000, "Cơ khí nông lâm"), "")</f>
        <v>3.8571428571428572</v>
      </c>
      <c r="L7" s="11">
        <f>IFERROR(AVERAGEIFS(Data_Source!$AL$2:$AL$1000, Data_Source!$E$2:$E$1000, "Cơ khí nông lâm"), "")</f>
        <v>3.7142857142857144</v>
      </c>
      <c r="M7" s="11">
        <f>IFERROR(AVERAGEIFS(Data_Source!$Z$2:$Z$1000, Data_Source!$E$2:$E$1000, "Công nghệ kỹ thuật ô tô"), "")</f>
        <v>4</v>
      </c>
      <c r="N7" s="11">
        <f>IFERROR(AVERAGEIFS(Data_Source!$AL$2:$AL$1000, Data_Source!$E$2:$E$1000, "Công nghệ kỹ thuật ô tô"), "")</f>
        <v>3.6666666666666665</v>
      </c>
    </row>
    <row r="8" spans="2:14" ht="16" x14ac:dyDescent="0.35">
      <c r="B8" s="14" t="s">
        <v>497</v>
      </c>
      <c r="C8" s="15">
        <f>IFERROR(AVERAGEIFS(Data_Source!$AA$2:$AA$1000, Data_Source!$E$2:$E$1000, "Kỹ thuật điều khiển và tự động hóa"), "")</f>
        <v>4.2352941176470589</v>
      </c>
      <c r="D8" s="15">
        <f>IFERROR(AVERAGEIFS(Data_Source!$AM$2:$AM$1000, Data_Source!$E$2:$E$1000, "Kỹ thuật điều khiển và tự động hóa"), "")</f>
        <v>4.4117647058823533</v>
      </c>
      <c r="E8" s="15">
        <f>IFERROR(AVERAGEIFS(Data_Source!$AA$2:$AA$1000, Data_Source!$E$2:$E$1000, "Công nghệ kỹ thuật nhiệt"), "")</f>
        <v>3.5833333333333335</v>
      </c>
      <c r="F8" s="15">
        <f>IFERROR(AVERAGEIFS(Data_Source!$AM$2:$AM$1000, Data_Source!$E$2:$E$1000, "Công nghệ kỹ thuật nhiệt"), "")</f>
        <v>3.7272727272727271</v>
      </c>
      <c r="G8" s="15">
        <f>IFERROR(AVERAGEIFS(Data_Source!$AA$2:$AA$1000, Data_Source!$E$2:$E$1000, "Công nghệ kỹ thuật cơ điện tử"), "")</f>
        <v>3.7272727272727271</v>
      </c>
      <c r="H8" s="15">
        <f>IFERROR(AVERAGEIFS(Data_Source!$AM$2:$AM$1000, Data_Source!$E$2:$E$1000, "Công nghệ kỹ thuật cơ điện tử"), "")</f>
        <v>3.8181818181818183</v>
      </c>
      <c r="I8" s="15">
        <f>IFERROR(AVERAGEIFS(Data_Source!$AA$2:$AA$1000, Data_Source!$E$2:$E$1000, "Công nghệ kỹ thuật năng lượng tái tạo"), "")</f>
        <v>3.7777777777777777</v>
      </c>
      <c r="J8" s="15">
        <f>IFERROR(AVERAGEIFS(Data_Source!$AM$2:$AM$1000, Data_Source!$E$2:$E$1000, "Công nghệ kỹ thuật năng lượng tái tạo"), "")</f>
        <v>4.2222222222222223</v>
      </c>
      <c r="K8" s="15">
        <f>IFERROR(AVERAGEIFS(Data_Source!$AA$2:$AA$1000, Data_Source!$E$2:$E$1000, "Cơ khí nông lâm"), "")</f>
        <v>3.8571428571428572</v>
      </c>
      <c r="L8" s="15">
        <f>IFERROR(AVERAGEIFS(Data_Source!$AM$2:$AM$1000, Data_Source!$E$2:$E$1000, "Cơ khí nông lâm"), "")</f>
        <v>3.5714285714285716</v>
      </c>
      <c r="M8" s="15">
        <f>IFERROR(AVERAGEIFS(Data_Source!$AA$2:$AA$1000, Data_Source!$E$2:$E$1000, "Công nghệ kỹ thuật ô tô"), "")</f>
        <v>4</v>
      </c>
      <c r="N8" s="15">
        <f>IFERROR(AVERAGEIFS(Data_Source!$AM$2:$AM$1000, Data_Source!$E$2:$E$1000, "Công nghệ kỹ thuật ô tô"), "")</f>
        <v>3.6666666666666665</v>
      </c>
    </row>
    <row r="9" spans="2:14" ht="16" x14ac:dyDescent="0.35">
      <c r="B9" s="10" t="s">
        <v>498</v>
      </c>
      <c r="C9" s="11">
        <f>IFERROR(AVERAGEIFS(Data_Source!$AB$2:$AB$1000, Data_Source!$E$2:$E$1000, "Kỹ thuật điều khiển và tự động hóa"), "")</f>
        <v>4</v>
      </c>
      <c r="D9" s="11">
        <f>IFERROR(AVERAGEIFS(Data_Source!$AN$2:$AN$1000, Data_Source!$E$2:$E$1000, "Kỹ thuật điều khiển và tự động hóa"), "")</f>
        <v>4.4117647058823533</v>
      </c>
      <c r="E9" s="11">
        <f>IFERROR(AVERAGEIFS(Data_Source!$AB$2:$AB$1000, Data_Source!$E$2:$E$1000, "Công nghệ kỹ thuật nhiệt"), "")</f>
        <v>3.3333333333333335</v>
      </c>
      <c r="F9" s="11">
        <f>IFERROR(AVERAGEIFS(Data_Source!$AN$2:$AN$1000, Data_Source!$E$2:$E$1000, "Công nghệ kỹ thuật nhiệt"), "")</f>
        <v>3.3636363636363638</v>
      </c>
      <c r="G9" s="11">
        <f>IFERROR(AVERAGEIFS(Data_Source!$AB$2:$AB$1000, Data_Source!$E$2:$E$1000, "Công nghệ kỹ thuật cơ điện tử"), "")</f>
        <v>3.4545454545454546</v>
      </c>
      <c r="H9" s="11">
        <f>IFERROR(AVERAGEIFS(Data_Source!$AN$2:$AN$1000, Data_Source!$E$2:$E$1000, "Công nghệ kỹ thuật cơ điện tử"), "")</f>
        <v>3.7272727272727271</v>
      </c>
      <c r="I9" s="11">
        <f>IFERROR(AVERAGEIFS(Data_Source!$AB$2:$AB$1000, Data_Source!$E$2:$E$1000, "Công nghệ kỹ thuật năng lượng tái tạo"), "")</f>
        <v>3.4444444444444446</v>
      </c>
      <c r="J9" s="11">
        <f>IFERROR(AVERAGEIFS(Data_Source!$AN$2:$AN$1000, Data_Source!$E$2:$E$1000, "Công nghệ kỹ thuật năng lượng tái tạo"), "")</f>
        <v>4.125</v>
      </c>
      <c r="K9" s="11">
        <f>IFERROR(AVERAGEIFS(Data_Source!$AB$2:$AB$1000, Data_Source!$E$2:$E$1000, "Cơ khí nông lâm"), "")</f>
        <v>4.1428571428571432</v>
      </c>
      <c r="L9" s="11">
        <f>IFERROR(AVERAGEIFS(Data_Source!$AN$2:$AN$1000, Data_Source!$E$2:$E$1000, "Cơ khí nông lâm"), "")</f>
        <v>3.7142857142857144</v>
      </c>
      <c r="M9" s="11">
        <f>IFERROR(AVERAGEIFS(Data_Source!$AB$2:$AB$1000, Data_Source!$E$2:$E$1000, "Công nghệ kỹ thuật ô tô"), "")</f>
        <v>4</v>
      </c>
      <c r="N9" s="11">
        <f>IFERROR(AVERAGEIFS(Data_Source!$AN$2:$AN$1000, Data_Source!$E$2:$E$1000, "Công nghệ kỹ thuật ô tô"), "")</f>
        <v>3.6666666666666665</v>
      </c>
    </row>
    <row r="10" spans="2:14" ht="16" x14ac:dyDescent="0.35">
      <c r="B10" s="14" t="s">
        <v>499</v>
      </c>
      <c r="C10" s="15">
        <f>IFERROR(AVERAGEIFS(Data_Source!$AC$2:$AC$1000, Data_Source!$E$2:$E$1000, "Kỹ thuật điều khiển và tự động hóa"), "")</f>
        <v>3.8235294117647061</v>
      </c>
      <c r="D10" s="15">
        <f>IFERROR(AVERAGEIFS(Data_Source!$AO$2:$AO$1000, Data_Source!$E$2:$E$1000, "Kỹ thuật điều khiển và tự động hóa"), "")</f>
        <v>4.2352941176470589</v>
      </c>
      <c r="E10" s="15">
        <f>IFERROR(AVERAGEIFS(Data_Source!$AC$2:$AC$1000, Data_Source!$E$2:$E$1000, "Công nghệ kỹ thuật nhiệt"), "")</f>
        <v>3.25</v>
      </c>
      <c r="F10" s="15">
        <f>IFERROR(AVERAGEIFS(Data_Source!$AO$2:$AO$1000, Data_Source!$E$2:$E$1000, "Công nghệ kỹ thuật nhiệt"), "")</f>
        <v>3.6363636363636362</v>
      </c>
      <c r="G10" s="15">
        <f>IFERROR(AVERAGEIFS(Data_Source!$AC$2:$AC$1000, Data_Source!$E$2:$E$1000, "Công nghệ kỹ thuật cơ điện tử"), "")</f>
        <v>3.4545454545454546</v>
      </c>
      <c r="H10" s="15">
        <f>IFERROR(AVERAGEIFS(Data_Source!$AO$2:$AO$1000, Data_Source!$E$2:$E$1000, "Công nghệ kỹ thuật cơ điện tử"), "")</f>
        <v>3.7272727272727271</v>
      </c>
      <c r="I10" s="15">
        <f>IFERROR(AVERAGEIFS(Data_Source!$AC$2:$AC$1000, Data_Source!$E$2:$E$1000, "Công nghệ kỹ thuật năng lượng tái tạo"), "")</f>
        <v>3.3333333333333335</v>
      </c>
      <c r="J10" s="15">
        <f>IFERROR(AVERAGEIFS(Data_Source!$AO$2:$AO$1000, Data_Source!$E$2:$E$1000, "Công nghệ kỹ thuật năng lượng tái tạo"), "")</f>
        <v>4.125</v>
      </c>
      <c r="K10" s="15">
        <f>IFERROR(AVERAGEIFS(Data_Source!$AC$2:$AC$1000, Data_Source!$E$2:$E$1000, "Cơ khí nông lâm"), "")</f>
        <v>3.7142857142857144</v>
      </c>
      <c r="L10" s="15">
        <f>IFERROR(AVERAGEIFS(Data_Source!$AO$2:$AO$1000, Data_Source!$E$2:$E$1000, "Cơ khí nông lâm"), "")</f>
        <v>3.2857142857142856</v>
      </c>
      <c r="M10" s="15">
        <f>IFERROR(AVERAGEIFS(Data_Source!$AC$2:$AC$1000, Data_Source!$E$2:$E$1000, "Công nghệ kỹ thuật ô tô"), "")</f>
        <v>4.333333333333333</v>
      </c>
      <c r="N10" s="15">
        <f>IFERROR(AVERAGEIFS(Data_Source!$AO$2:$AO$1000, Data_Source!$E$2:$E$1000, "Công nghệ kỹ thuật ô tô"), "")</f>
        <v>3.6666666666666665</v>
      </c>
    </row>
    <row r="11" spans="2:14" ht="16" x14ac:dyDescent="0.35">
      <c r="B11" s="10" t="s">
        <v>500</v>
      </c>
      <c r="C11" s="11">
        <f>IFERROR(AVERAGEIFS(Data_Source!$AD$2:$AD$1000, Data_Source!$E$2:$E$1000, "Kỹ thuật điều khiển và tự động hóa"), "")</f>
        <v>3.8235294117647061</v>
      </c>
      <c r="D11" s="11">
        <f>IFERROR(AVERAGEIFS(Data_Source!$AP$2:$AP$1000, Data_Source!$E$2:$E$1000, "Kỹ thuật điều khiển và tự động hóa"), "")</f>
        <v>4.2352941176470589</v>
      </c>
      <c r="E11" s="11">
        <f>IFERROR(AVERAGEIFS(Data_Source!$AD$2:$AD$1000, Data_Source!$E$2:$E$1000, "Công nghệ kỹ thuật nhiệt"), "")</f>
        <v>3.6666666666666665</v>
      </c>
      <c r="F11" s="11">
        <f>IFERROR(AVERAGEIFS(Data_Source!$AP$2:$AP$1000, Data_Source!$E$2:$E$1000, "Công nghệ kỹ thuật nhiệt"), "")</f>
        <v>3.5454545454545454</v>
      </c>
      <c r="G11" s="11">
        <f>IFERROR(AVERAGEIFS(Data_Source!$AD$2:$AD$1000, Data_Source!$E$2:$E$1000, "Công nghệ kỹ thuật cơ điện tử"), "")</f>
        <v>3.4545454545454546</v>
      </c>
      <c r="H11" s="11">
        <f>IFERROR(AVERAGEIFS(Data_Source!$AP$2:$AP$1000, Data_Source!$E$2:$E$1000, "Công nghệ kỹ thuật cơ điện tử"), "")</f>
        <v>3.6363636363636362</v>
      </c>
      <c r="I11" s="11">
        <f>IFERROR(AVERAGEIFS(Data_Source!$AD$2:$AD$1000, Data_Source!$E$2:$E$1000, "Công nghệ kỹ thuật năng lượng tái tạo"), "")</f>
        <v>4.125</v>
      </c>
      <c r="J11" s="11">
        <f>IFERROR(AVERAGEIFS(Data_Source!$AP$2:$AP$1000, Data_Source!$E$2:$E$1000, "Công nghệ kỹ thuật năng lượng tái tạo"), "")</f>
        <v>4.125</v>
      </c>
      <c r="K11" s="11">
        <f>IFERROR(AVERAGEIFS(Data_Source!$AD$2:$AD$1000, Data_Source!$E$2:$E$1000, "Cơ khí nông lâm"), "")</f>
        <v>3.5714285714285716</v>
      </c>
      <c r="L11" s="11">
        <f>IFERROR(AVERAGEIFS(Data_Source!$AP$2:$AP$1000, Data_Source!$E$2:$E$1000, "Cơ khí nông lâm"), "")</f>
        <v>3.4285714285714284</v>
      </c>
      <c r="M11" s="11">
        <f>IFERROR(AVERAGEIFS(Data_Source!$AD$2:$AD$1000, Data_Source!$E$2:$E$1000, "Công nghệ kỹ thuật ô tô"), "")</f>
        <v>4.333333333333333</v>
      </c>
      <c r="N11" s="11">
        <f>IFERROR(AVERAGEIFS(Data_Source!$AP$2:$AP$1000, Data_Source!$E$2:$E$1000, "Công nghệ kỹ thuật ô tô"), "")</f>
        <v>3.6666666666666665</v>
      </c>
    </row>
    <row r="12" spans="2:14" ht="16" x14ac:dyDescent="0.35">
      <c r="B12" s="14" t="s">
        <v>501</v>
      </c>
      <c r="C12" s="15">
        <f>IFERROR(AVERAGEIFS(Data_Source!$AE$2:$AE$1000, Data_Source!$E$2:$E$1000, "Kỹ thuật điều khiển và tự động hóa"), "")</f>
        <v>4.4117647058823533</v>
      </c>
      <c r="D12" s="15">
        <f>IFERROR(AVERAGEIFS(Data_Source!$AQ$2:$AQ$1000, Data_Source!$E$2:$E$1000, "Kỹ thuật điều khiển và tự động hóa"), "")</f>
        <v>4.4705882352941178</v>
      </c>
      <c r="E12" s="15">
        <f>IFERROR(AVERAGEIFS(Data_Source!$AE$2:$AE$1000, Data_Source!$E$2:$E$1000, "Công nghệ kỹ thuật nhiệt"), "")</f>
        <v>3.1666666666666665</v>
      </c>
      <c r="F12" s="15">
        <f>IFERROR(AVERAGEIFS(Data_Source!$AQ$2:$AQ$1000, Data_Source!$E$2:$E$1000, "Công nghệ kỹ thuật nhiệt"), "")</f>
        <v>3.6363636363636362</v>
      </c>
      <c r="G12" s="15">
        <f>IFERROR(AVERAGEIFS(Data_Source!$AE$2:$AE$1000, Data_Source!$E$2:$E$1000, "Công nghệ kỹ thuật cơ điện tử"), "")</f>
        <v>2.8181818181818183</v>
      </c>
      <c r="H12" s="15">
        <f>IFERROR(AVERAGEIFS(Data_Source!$AQ$2:$AQ$1000, Data_Source!$E$2:$E$1000, "Công nghệ kỹ thuật cơ điện tử"), "")</f>
        <v>3.7272727272727271</v>
      </c>
      <c r="I12" s="15">
        <f>IFERROR(AVERAGEIFS(Data_Source!$AE$2:$AE$1000, Data_Source!$E$2:$E$1000, "Công nghệ kỹ thuật năng lượng tái tạo"), "")</f>
        <v>3.5555555555555554</v>
      </c>
      <c r="J12" s="15">
        <f>IFERROR(AVERAGEIFS(Data_Source!$AQ$2:$AQ$1000, Data_Source!$E$2:$E$1000, "Công nghệ kỹ thuật năng lượng tái tạo"), "")</f>
        <v>4</v>
      </c>
      <c r="K12" s="15">
        <f>IFERROR(AVERAGEIFS(Data_Source!$AE$2:$AE$1000, Data_Source!$E$2:$E$1000, "Cơ khí nông lâm"), "")</f>
        <v>3.8571428571428572</v>
      </c>
      <c r="L12" s="15">
        <f>IFERROR(AVERAGEIFS(Data_Source!$AQ$2:$AQ$1000, Data_Source!$E$2:$E$1000, "Cơ khí nông lâm"), "")</f>
        <v>3.5714285714285716</v>
      </c>
      <c r="M12" s="15">
        <f>IFERROR(AVERAGEIFS(Data_Source!$AE$2:$AE$1000, Data_Source!$E$2:$E$1000, "Công nghệ kỹ thuật ô tô"), "")</f>
        <v>4.333333333333333</v>
      </c>
      <c r="N12" s="15">
        <f>IFERROR(AVERAGEIFS(Data_Source!$AQ$2:$AQ$1000, Data_Source!$E$2:$E$1000, "Công nghệ kỹ thuật ô tô"), "")</f>
        <v>3.6666666666666665</v>
      </c>
    </row>
    <row r="13" spans="2:14" ht="16" x14ac:dyDescent="0.35">
      <c r="B13" s="10" t="s">
        <v>503</v>
      </c>
      <c r="C13" s="11">
        <f>IFERROR(AVERAGEIFS(Data_Source!$AF$2:$AF$1000, Data_Source!$E$2:$E$1000, "Kỹ thuật điều khiển và tự động hóa"), "")</f>
        <v>4.2941176470588234</v>
      </c>
      <c r="D13" s="11">
        <f>IFERROR(AVERAGEIFS(Data_Source!$AR$2:$AR$1000, Data_Source!$E$2:$E$1000, "Kỹ thuật điều khiển và tự động hóa"), "")</f>
        <v>4.4705882352941178</v>
      </c>
      <c r="E13" s="11">
        <f>IFERROR(AVERAGEIFS(Data_Source!$AF$2:$AF$1000, Data_Source!$E$2:$E$1000, "Công nghệ kỹ thuật nhiệt"), "")</f>
        <v>3.5</v>
      </c>
      <c r="F13" s="11">
        <f>IFERROR(AVERAGEIFS(Data_Source!$AR$2:$AR$1000, Data_Source!$E$2:$E$1000, "Công nghệ kỹ thuật nhiệt"), "")</f>
        <v>3.6363636363636362</v>
      </c>
      <c r="G13" s="11">
        <f>IFERROR(AVERAGEIFS(Data_Source!$AF$2:$AF$1000, Data_Source!$E$2:$E$1000, "Công nghệ kỹ thuật cơ điện tử"), "")</f>
        <v>3.5454545454545454</v>
      </c>
      <c r="H13" s="11">
        <f>IFERROR(AVERAGEIFS(Data_Source!$AR$2:$AR$1000, Data_Source!$E$2:$E$1000, "Công nghệ kỹ thuật cơ điện tử"), "")</f>
        <v>3.7272727272727271</v>
      </c>
      <c r="I13" s="11">
        <f>IFERROR(AVERAGEIFS(Data_Source!$AF$2:$AF$1000, Data_Source!$E$2:$E$1000, "Công nghệ kỹ thuật năng lượng tái tạo"), "")</f>
        <v>3.8888888888888888</v>
      </c>
      <c r="J13" s="11">
        <f>IFERROR(AVERAGEIFS(Data_Source!$AR$2:$AR$1000, Data_Source!$E$2:$E$1000, "Công nghệ kỹ thuật năng lượng tái tạo"), "")</f>
        <v>4.125</v>
      </c>
      <c r="K13" s="11">
        <f>IFERROR(AVERAGEIFS(Data_Source!$AF$2:$AF$1000, Data_Source!$E$2:$E$1000, "Cơ khí nông lâm"), "")</f>
        <v>3.7142857142857144</v>
      </c>
      <c r="L13" s="11">
        <f>IFERROR(AVERAGEIFS(Data_Source!$AR$2:$AR$1000, Data_Source!$E$2:$E$1000, "Cơ khí nông lâm"), "")</f>
        <v>4</v>
      </c>
      <c r="M13" s="11">
        <f>IFERROR(AVERAGEIFS(Data_Source!$AF$2:$AF$1000, Data_Source!$E$2:$E$1000, "Công nghệ kỹ thuật ô tô"), "")</f>
        <v>4</v>
      </c>
      <c r="N13" s="11">
        <f>IFERROR(AVERAGEIFS(Data_Source!$AR$2:$AR$1000, Data_Source!$E$2:$E$1000, "Công nghệ kỹ thuật ô tô"), "")</f>
        <v>3.6666666666666665</v>
      </c>
    </row>
    <row r="14" spans="2:14" ht="16" x14ac:dyDescent="0.35">
      <c r="B14" s="14" t="s">
        <v>504</v>
      </c>
      <c r="C14" s="15">
        <f>IFERROR(AVERAGEIFS(Data_Source!$AG$2:$AG$1000, Data_Source!$E$2:$E$1000, "Kỹ thuật điều khiển và tự động hóa"), "")</f>
        <v>4.2941176470588234</v>
      </c>
      <c r="D14" s="15">
        <f>IFERROR(AVERAGEIFS(Data_Source!$AS$2:$AS$1000, Data_Source!$E$2:$E$1000, "Kỹ thuật điều khiển và tự động hóa"), "")</f>
        <v>4.4705882352941178</v>
      </c>
      <c r="E14" s="15">
        <f>IFERROR(AVERAGEIFS(Data_Source!$AG$2:$AG$1000, Data_Source!$E$2:$E$1000, "Công nghệ kỹ thuật nhiệt"), "")</f>
        <v>3.25</v>
      </c>
      <c r="F14" s="15">
        <f>IFERROR(AVERAGEIFS(Data_Source!$AS$2:$AS$1000, Data_Source!$E$2:$E$1000, "Công nghệ kỹ thuật nhiệt"), "")</f>
        <v>3.6363636363636362</v>
      </c>
      <c r="G14" s="15">
        <f>IFERROR(AVERAGEIFS(Data_Source!$AG$2:$AG$1000, Data_Source!$E$2:$E$1000, "Công nghệ kỹ thuật cơ điện tử"), "")</f>
        <v>3.5454545454545454</v>
      </c>
      <c r="H14" s="15">
        <f>IFERROR(AVERAGEIFS(Data_Source!$AS$2:$AS$1000, Data_Source!$E$2:$E$1000, "Công nghệ kỹ thuật cơ điện tử"), "")</f>
        <v>3.6363636363636362</v>
      </c>
      <c r="I14" s="15">
        <f>IFERROR(AVERAGEIFS(Data_Source!$AG$2:$AG$1000, Data_Source!$E$2:$E$1000, "Công nghệ kỹ thuật năng lượng tái tạo"), "")</f>
        <v>3.2222222222222223</v>
      </c>
      <c r="J14" s="15">
        <f>IFERROR(AVERAGEIFS(Data_Source!$AS$2:$AS$1000, Data_Source!$E$2:$E$1000, "Công nghệ kỹ thuật năng lượng tái tạo"), "")</f>
        <v>4.25</v>
      </c>
      <c r="K14" s="15">
        <f>IFERROR(AVERAGEIFS(Data_Source!$AG$2:$AG$1000, Data_Source!$E$2:$E$1000, "Cơ khí nông lâm"), "")</f>
        <v>3.7142857142857144</v>
      </c>
      <c r="L14" s="15">
        <f>IFERROR(AVERAGEIFS(Data_Source!$AS$2:$AS$1000, Data_Source!$E$2:$E$1000, "Cơ khí nông lâm"), "")</f>
        <v>3.8571428571428572</v>
      </c>
      <c r="M14" s="15">
        <f>IFERROR(AVERAGEIFS(Data_Source!$AG$2:$AG$1000, Data_Source!$E$2:$E$1000, "Công nghệ kỹ thuật ô tô"), "")</f>
        <v>4</v>
      </c>
      <c r="N14" s="15">
        <f>IFERROR(AVERAGEIFS(Data_Source!$AS$2:$AS$1000, Data_Source!$E$2:$E$1000, "Công nghệ kỹ thuật ô tô"), "")</f>
        <v>3.6666666666666665</v>
      </c>
    </row>
    <row r="15" spans="2:14" ht="16" x14ac:dyDescent="0.35">
      <c r="B15" s="10" t="s">
        <v>505</v>
      </c>
      <c r="C15" s="11">
        <f>IFERROR(AVERAGEIFS(Data_Source!$AH$2:$AH$1000, Data_Source!$E$2:$E$1000, "Kỹ thuật điều khiển và tự động hóa"), "")</f>
        <v>4.1764705882352944</v>
      </c>
      <c r="D15" s="11">
        <f>IFERROR(AVERAGEIFS(Data_Source!$AT$2:$AT$1000, Data_Source!$E$2:$E$1000, "Kỹ thuật điều khiển và tự động hóa"), "")</f>
        <v>4.3529411764705879</v>
      </c>
      <c r="E15" s="11">
        <f>IFERROR(AVERAGEIFS(Data_Source!$AH$2:$AH$1000, Data_Source!$E$2:$E$1000, "Công nghệ kỹ thuật nhiệt"), "")</f>
        <v>3.2727272727272729</v>
      </c>
      <c r="F15" s="11">
        <f>IFERROR(AVERAGEIFS(Data_Source!$AT$2:$AT$1000, Data_Source!$E$2:$E$1000, "Công nghệ kỹ thuật nhiệt"), "")</f>
        <v>3.7272727272727271</v>
      </c>
      <c r="G15" s="11">
        <f>IFERROR(AVERAGEIFS(Data_Source!$AH$2:$AH$1000, Data_Source!$E$2:$E$1000, "Công nghệ kỹ thuật cơ điện tử"), "")</f>
        <v>3.4545454545454546</v>
      </c>
      <c r="H15" s="11">
        <f>IFERROR(AVERAGEIFS(Data_Source!$AT$2:$AT$1000, Data_Source!$E$2:$E$1000, "Công nghệ kỹ thuật cơ điện tử"), "")</f>
        <v>3.8181818181818183</v>
      </c>
      <c r="I15" s="11">
        <f>IFERROR(AVERAGEIFS(Data_Source!$AH$2:$AH$1000, Data_Source!$E$2:$E$1000, "Công nghệ kỹ thuật năng lượng tái tạo"), "")</f>
        <v>3.5555555555555554</v>
      </c>
      <c r="J15" s="11">
        <f>IFERROR(AVERAGEIFS(Data_Source!$AT$2:$AT$1000, Data_Source!$E$2:$E$1000, "Công nghệ kỹ thuật năng lượng tái tạo"), "")</f>
        <v>4.25</v>
      </c>
      <c r="K15" s="11">
        <f>IFERROR(AVERAGEIFS(Data_Source!$AH$2:$AH$1000, Data_Source!$E$2:$E$1000, "Cơ khí nông lâm"), "")</f>
        <v>3.1428571428571428</v>
      </c>
      <c r="L15" s="11">
        <f>IFERROR(AVERAGEIFS(Data_Source!$AT$2:$AT$1000, Data_Source!$E$2:$E$1000, "Cơ khí nông lâm"), "")</f>
        <v>3.7142857142857144</v>
      </c>
      <c r="M15" s="11">
        <f>IFERROR(AVERAGEIFS(Data_Source!$AH$2:$AH$1000, Data_Source!$E$2:$E$1000, "Công nghệ kỹ thuật ô tô"), "")</f>
        <v>4</v>
      </c>
      <c r="N15" s="11">
        <f>IFERROR(AVERAGEIFS(Data_Source!$AT$2:$AT$1000, Data_Source!$E$2:$E$1000, "Công nghệ kỹ thuật ô tô"), "")</f>
        <v>3.6666666666666665</v>
      </c>
    </row>
    <row r="16" spans="2:14" ht="16" x14ac:dyDescent="0.35">
      <c r="B16" s="14" t="s">
        <v>506</v>
      </c>
      <c r="C16" s="15">
        <f>IFERROR(AVERAGEIFS(Data_Source!$AI$2:$AI$1000, Data_Source!$E$2:$E$1000, "Kỹ thuật điều khiển và tự động hóa"), "")</f>
        <v>3.8235294117647061</v>
      </c>
      <c r="D16" s="15">
        <f>IFERROR(AVERAGEIFS(Data_Source!$AU$2:$AU$1000, Data_Source!$E$2:$E$1000, "Kỹ thuật điều khiển và tự động hóa"), "")</f>
        <v>4.1764705882352944</v>
      </c>
      <c r="E16" s="15">
        <f>IFERROR(AVERAGEIFS(Data_Source!$AI$2:$AI$1000, Data_Source!$E$2:$E$1000, "Công nghệ kỹ thuật nhiệt"), "")</f>
        <v>3.75</v>
      </c>
      <c r="F16" s="15">
        <f>IFERROR(AVERAGEIFS(Data_Source!$AU$2:$AU$1000, Data_Source!$E$2:$E$1000, "Công nghệ kỹ thuật nhiệt"), "")</f>
        <v>3.9090909090909092</v>
      </c>
      <c r="G16" s="15">
        <f>IFERROR(AVERAGEIFS(Data_Source!$AI$2:$AI$1000, Data_Source!$E$2:$E$1000, "Công nghệ kỹ thuật cơ điện tử"), "")</f>
        <v>3.8181818181818183</v>
      </c>
      <c r="H16" s="15">
        <f>IFERROR(AVERAGEIFS(Data_Source!$AU$2:$AU$1000, Data_Source!$E$2:$E$1000, "Công nghệ kỹ thuật cơ điện tử"), "")</f>
        <v>3.7272727272727271</v>
      </c>
      <c r="I16" s="15">
        <f>IFERROR(AVERAGEIFS(Data_Source!$AI$2:$AI$1000, Data_Source!$E$2:$E$1000, "Công nghệ kỹ thuật năng lượng tái tạo"), "")</f>
        <v>4.2222222222222223</v>
      </c>
      <c r="J16" s="15">
        <f>IFERROR(AVERAGEIFS(Data_Source!$AU$2:$AU$1000, Data_Source!$E$2:$E$1000, "Công nghệ kỹ thuật năng lượng tái tạo"), "")</f>
        <v>4</v>
      </c>
      <c r="K16" s="15">
        <f>IFERROR(AVERAGEIFS(Data_Source!$AI$2:$AI$1000, Data_Source!$E$2:$E$1000, "Cơ khí nông lâm"), "")</f>
        <v>3.7142857142857144</v>
      </c>
      <c r="L16" s="15">
        <f>IFERROR(AVERAGEIFS(Data_Source!$AU$2:$AU$1000, Data_Source!$E$2:$E$1000, "Cơ khí nông lâm"), "")</f>
        <v>3.5714285714285716</v>
      </c>
      <c r="M16" s="15">
        <f>IFERROR(AVERAGEIFS(Data_Source!$AI$2:$AI$1000, Data_Source!$E$2:$E$1000, "Công nghệ kỹ thuật ô tô"), "")</f>
        <v>4.333333333333333</v>
      </c>
      <c r="N16" s="15">
        <f>IFERROR(AVERAGEIFS(Data_Source!$AU$2:$AU$1000, Data_Source!$E$2:$E$1000, "Công nghệ kỹ thuật ô tô"), "")</f>
        <v>3.3333333333333335</v>
      </c>
    </row>
    <row r="17" spans="2:14" ht="16" x14ac:dyDescent="0.35">
      <c r="B17" s="10" t="s">
        <v>507</v>
      </c>
      <c r="C17" s="11">
        <f>IFERROR(AVERAGEIFS(Data_Source!$AJ$2:$AJ$1000, Data_Source!$E$2:$E$1000, "Kỹ thuật điều khiển và tự động hóa"), "")</f>
        <v>3.875</v>
      </c>
      <c r="D17" s="11">
        <f>IFERROR(AVERAGEIFS(Data_Source!$AV$2:$AV$1000, Data_Source!$E$2:$E$1000, "Kỹ thuật điều khiển và tự động hóa"), "")</f>
        <v>4.2941176470588234</v>
      </c>
      <c r="E17" s="11">
        <f>IFERROR(AVERAGEIFS(Data_Source!$AJ$2:$AJ$1000, Data_Source!$E$2:$E$1000, "Công nghệ kỹ thuật nhiệt"), "")</f>
        <v>3.9166666666666665</v>
      </c>
      <c r="F17" s="11">
        <f>IFERROR(AVERAGEIFS(Data_Source!$AV$2:$AV$1000, Data_Source!$E$2:$E$1000, "Công nghệ kỹ thuật nhiệt"), "")</f>
        <v>3.9090909090909092</v>
      </c>
      <c r="G17" s="11">
        <f>IFERROR(AVERAGEIFS(Data_Source!$AJ$2:$AJ$1000, Data_Source!$E$2:$E$1000, "Công nghệ kỹ thuật cơ điện tử"), "")</f>
        <v>3.7272727272727271</v>
      </c>
      <c r="H17" s="11">
        <f>IFERROR(AVERAGEIFS(Data_Source!$AV$2:$AV$1000, Data_Source!$E$2:$E$1000, "Công nghệ kỹ thuật cơ điện tử"), "")</f>
        <v>3.7272727272727271</v>
      </c>
      <c r="I17" s="11">
        <f>IFERROR(AVERAGEIFS(Data_Source!$AJ$2:$AJ$1000, Data_Source!$E$2:$E$1000, "Công nghệ kỹ thuật năng lượng tái tạo"), "")</f>
        <v>4.2222222222222223</v>
      </c>
      <c r="J17" s="11">
        <f>IFERROR(AVERAGEIFS(Data_Source!$AV$2:$AV$1000, Data_Source!$E$2:$E$1000, "Công nghệ kỹ thuật năng lượng tái tạo"), "")</f>
        <v>4</v>
      </c>
      <c r="K17" s="11">
        <f>IFERROR(AVERAGEIFS(Data_Source!$AJ$2:$AJ$1000, Data_Source!$E$2:$E$1000, "Cơ khí nông lâm"), "")</f>
        <v>3.6666666666666665</v>
      </c>
      <c r="L17" s="11">
        <f>IFERROR(AVERAGEIFS(Data_Source!$AV$2:$AV$1000, Data_Source!$E$2:$E$1000, "Cơ khí nông lâm"), "")</f>
        <v>3.5714285714285716</v>
      </c>
      <c r="M17" s="11">
        <f>IFERROR(AVERAGEIFS(Data_Source!$AJ$2:$AJ$1000, Data_Source!$E$2:$E$1000, "Công nghệ kỹ thuật ô tô"), "")</f>
        <v>4</v>
      </c>
      <c r="N17" s="11">
        <f>IFERROR(AVERAGEIFS(Data_Source!$AV$2:$AV$1000, Data_Source!$E$2:$E$1000, "Công nghệ kỹ thuật ô tô"), "")</f>
        <v>3.3333333333333335</v>
      </c>
    </row>
    <row r="18" spans="2:14" ht="16" x14ac:dyDescent="0.35">
      <c r="B18" s="14" t="s">
        <v>508</v>
      </c>
      <c r="C18" s="15">
        <f>IFERROR(AVERAGEIFS(Data_Source!$AK$2:$AK$1000, Data_Source!$E$2:$E$1000, "Kỹ thuật điều khiển và tự động hóa"), "")</f>
        <v>4.2941176470588234</v>
      </c>
      <c r="D18" s="15" t="str">
        <f>IFERROR(AVERAGEIFS(Data_Source!$AW$2:$AW$1000, Data_Source!$E$2:$E$1000, "Kỹ thuật điều khiển và tự động hóa"), "")</f>
        <v/>
      </c>
      <c r="E18" s="15">
        <f>IFERROR(AVERAGEIFS(Data_Source!$AK$2:$AK$1000, Data_Source!$E$2:$E$1000, "Công nghệ kỹ thuật nhiệt"), "")</f>
        <v>3.5454545454545454</v>
      </c>
      <c r="F18" s="15" t="str">
        <f>IFERROR(AVERAGEIFS(Data_Source!$AW$2:$AW$1000, Data_Source!$E$2:$E$1000, "Công nghệ kỹ thuật nhiệt"), "")</f>
        <v/>
      </c>
      <c r="G18" s="15">
        <f>IFERROR(AVERAGEIFS(Data_Source!$AK$2:$AK$1000, Data_Source!$E$2:$E$1000, "Công nghệ kỹ thuật cơ điện tử"), "")</f>
        <v>3.9090909090909092</v>
      </c>
      <c r="H18" s="15" t="str">
        <f>IFERROR(AVERAGEIFS(Data_Source!$AW$2:$AW$1000, Data_Source!$E$2:$E$1000, "Công nghệ kỹ thuật cơ điện tử"), "")</f>
        <v/>
      </c>
      <c r="I18" s="15">
        <f>IFERROR(AVERAGEIFS(Data_Source!$AK$2:$AK$1000, Data_Source!$E$2:$E$1000, "Công nghệ kỹ thuật năng lượng tái tạo"), "")</f>
        <v>4</v>
      </c>
      <c r="J18" s="15" t="str">
        <f>IFERROR(AVERAGEIFS(Data_Source!$AW$2:$AW$1000, Data_Source!$E$2:$E$1000, "Công nghệ kỹ thuật năng lượng tái tạo"), "")</f>
        <v/>
      </c>
      <c r="K18" s="15">
        <f>IFERROR(AVERAGEIFS(Data_Source!$AK$2:$AK$1000, Data_Source!$E$2:$E$1000, "Cơ khí nông lâm"), "")</f>
        <v>3.7142857142857144</v>
      </c>
      <c r="L18" s="15" t="str">
        <f>IFERROR(AVERAGEIFS(Data_Source!$AW$2:$AW$1000, Data_Source!$E$2:$E$1000, "Cơ khí nông lâm"), "")</f>
        <v/>
      </c>
      <c r="M18" s="15">
        <f>IFERROR(AVERAGEIFS(Data_Source!$AK$2:$AK$1000, Data_Source!$E$2:$E$1000, "Công nghệ kỹ thuật ô tô"), "")</f>
        <v>3.3333333333333335</v>
      </c>
      <c r="N18" s="15" t="str">
        <f>IFERROR(AVERAGEIFS(Data_Source!$AW$2:$AW$1000, Data_Source!$E$2:$E$1000, "Công nghệ kỹ thuật ô tô"), "")</f>
        <v/>
      </c>
    </row>
  </sheetData>
  <mergeCells count="6">
    <mergeCell ref="M5:N5"/>
    <mergeCell ref="C5:D5"/>
    <mergeCell ref="G5:H5"/>
    <mergeCell ref="E5:F5"/>
    <mergeCell ref="K5:L5"/>
    <mergeCell ref="I5:J5"/>
  </mergeCell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2:E40"/>
  <sheetViews>
    <sheetView showGridLines="0" workbookViewId="0"/>
  </sheetViews>
  <sheetFormatPr defaultRowHeight="14.5" x14ac:dyDescent="0.35"/>
  <cols>
    <col min="2" max="2" width="25" customWidth="1"/>
    <col min="3" max="4" width="32" customWidth="1"/>
    <col min="5" max="5" width="45" customWidth="1"/>
  </cols>
  <sheetData>
    <row r="2" spans="2:5" ht="25" x14ac:dyDescent="0.7">
      <c r="B2" s="2" t="s">
        <v>527</v>
      </c>
    </row>
    <row r="3" spans="2:5" ht="16" x14ac:dyDescent="0.45">
      <c r="B3" s="3" t="s">
        <v>528</v>
      </c>
    </row>
    <row r="5" spans="2:5" ht="16" x14ac:dyDescent="0.45">
      <c r="B5" s="6" t="s">
        <v>529</v>
      </c>
      <c r="C5" s="21" t="s">
        <v>49</v>
      </c>
      <c r="D5" s="21" t="s">
        <v>50</v>
      </c>
      <c r="E5" s="21" t="s">
        <v>530</v>
      </c>
    </row>
    <row r="6" spans="2:5" ht="40" customHeight="1" x14ac:dyDescent="0.35">
      <c r="B6" s="16" t="str">
        <f>IF(ISERROR(MATCH(1, Data_Source!$A$2:$A$1000, 0)), "", IFERROR(VLOOKUP(1, Data_Source!$A$2:$AZ$1000, 3, FALSE) &amp; "", ""))</f>
        <v>LÊ QUANG NGỌC</v>
      </c>
      <c r="C6" s="16" t="str">
        <f>IF(B6="","", IFERROR(IF(OR(VLOOKUP(1, Data_Source!$A$2:$AZ$1000, 50, FALSE)="", VLOOKUP(1, Data_Source!$A$2:$AZ$1000, 50, FALSE)=0), "None", VLOOKUP(1, Data_Source!$A$2:$AZ$1000, 50, FALSE)), ""))</f>
        <v>None</v>
      </c>
      <c r="D6" s="16" t="str">
        <f>IF(B6="","", IFERROR(IF(OR(VLOOKUP(1, Data_Source!$A$2:$AZ$1000, 51, FALSE)="", VLOOKUP(1, Data_Source!$A$2:$AZ$1000, 51, FALSE)=0), "None", VLOOKUP(1, Data_Source!$A$2:$AZ$1000, 51, FALSE)), ""))</f>
        <v>QUản lý dự án</v>
      </c>
      <c r="E6" s="16" t="str">
        <f>IF(B6="","", IFERROR(IF(OR(VLOOKUP(1, Data_Source!$A$2:$AZ$1000, 49, FALSE)="", VLOOKUP(1, Data_Source!$A$2:$AZ$1000, 49, FALSE)=0), "None", VLOOKUP(1, Data_Source!$A$2:$AZ$1000, 49, FALSE)), ""))</f>
        <v>None</v>
      </c>
    </row>
    <row r="7" spans="2:5" ht="40" customHeight="1" x14ac:dyDescent="0.35">
      <c r="B7" s="16" t="str">
        <f>IF(ISERROR(MATCH(2, Data_Source!$A$2:$A$1000, 0)), "", IFERROR(VLOOKUP(2, Data_Source!$A$2:$AZ$1000, 3, FALSE) &amp; "", ""))</f>
        <v>Phạm Thị Thúy Hằng</v>
      </c>
      <c r="C7" s="16" t="str">
        <f>IF(B7="","", IFERROR(IF(OR(VLOOKUP(2, Data_Source!$A$2:$AZ$1000, 50, FALSE)="", VLOOKUP(2, Data_Source!$A$2:$AZ$1000, 50, FALSE)=0), "None", VLOOKUP(2, Data_Source!$A$2:$AZ$1000, 50, FALSE)), ""))</f>
        <v>EM không có ý kiến</v>
      </c>
      <c r="D7" s="16" t="str">
        <f>IF(B7="","", IFERROR(IF(OR(VLOOKUP(2, Data_Source!$A$2:$AZ$1000, 51, FALSE)="", VLOOKUP(2, Data_Source!$A$2:$AZ$1000, 51, FALSE)=0), "None", VLOOKUP(2, Data_Source!$A$2:$AZ$1000, 51, FALSE)), ""))</f>
        <v>em không có ý kiến</v>
      </c>
      <c r="E7" s="16" t="str">
        <f>IF(B7="","", IFERROR(IF(OR(VLOOKUP(2, Data_Source!$A$2:$AZ$1000, 49, FALSE)="", VLOOKUP(2, Data_Source!$A$2:$AZ$1000, 49, FALSE)=0), "None", VLOOKUP(2, Data_Source!$A$2:$AZ$1000, 49, FALSE)), ""))</f>
        <v>em không có đề xuất gì</v>
      </c>
    </row>
    <row r="8" spans="2:5" ht="40" customHeight="1" x14ac:dyDescent="0.35">
      <c r="B8" s="16" t="str">
        <f>IF(ISERROR(MATCH(3, Data_Source!$A$2:$A$1000, 0)), "", IFERROR(VLOOKUP(3, Data_Source!$A$2:$AZ$1000, 3, FALSE) &amp; "", ""))</f>
        <v>Hoàng Văn Viết</v>
      </c>
      <c r="C8" s="16" t="str">
        <f>IF(B8="","", IFERROR(IF(OR(VLOOKUP(3, Data_Source!$A$2:$AZ$1000, 50, FALSE)="", VLOOKUP(3, Data_Source!$A$2:$AZ$1000, 50, FALSE)=0), "None", VLOOKUP(3, Data_Source!$A$2:$AZ$1000, 50, FALSE)), ""))</f>
        <v>None</v>
      </c>
      <c r="D8" s="16" t="str">
        <f>IF(B8="","", IFERROR(IF(OR(VLOOKUP(3, Data_Source!$A$2:$AZ$1000, 51, FALSE)="", VLOOKUP(3, Data_Source!$A$2:$AZ$1000, 51, FALSE)=0), "None", VLOOKUP(3, Data_Source!$A$2:$AZ$1000, 51, FALSE)), ""))</f>
        <v>None</v>
      </c>
      <c r="E8" s="16" t="str">
        <f>IF(B8="","", IFERROR(IF(OR(VLOOKUP(3, Data_Source!$A$2:$AZ$1000, 49, FALSE)="", VLOOKUP(3, Data_Source!$A$2:$AZ$1000, 49, FALSE)=0), "None", VLOOKUP(3, Data_Source!$A$2:$AZ$1000, 49, FALSE)), ""))</f>
        <v>None</v>
      </c>
    </row>
    <row r="9" spans="2:5" ht="40" customHeight="1" x14ac:dyDescent="0.35">
      <c r="B9" s="16" t="str">
        <f>IF(ISERROR(MATCH(4, Data_Source!$A$2:$A$1000, 0)), "", IFERROR(VLOOKUP(4, Data_Source!$A$2:$AZ$1000, 3, FALSE) &amp; "", ""))</f>
        <v>Trần Vũ Nam Kha</v>
      </c>
      <c r="C9" s="16" t="str">
        <f>IF(B9="","", IFERROR(IF(OR(VLOOKUP(4, Data_Source!$A$2:$AZ$1000, 50, FALSE)="", VLOOKUP(4, Data_Source!$A$2:$AZ$1000, 50, FALSE)=0), "None", VLOOKUP(4, Data_Source!$A$2:$AZ$1000, 50, FALSE)), ""))</f>
        <v>Không có</v>
      </c>
      <c r="D9" s="16" t="str">
        <f>IF(B9="","", IFERROR(IF(OR(VLOOKUP(4, Data_Source!$A$2:$AZ$1000, 51, FALSE)="", VLOOKUP(4, Data_Source!$A$2:$AZ$1000, 51, FALSE)=0), "None", VLOOKUP(4, Data_Source!$A$2:$AZ$1000, 51, FALSE)), ""))</f>
        <v>Nguyên lý máy và Chi tiết máy</v>
      </c>
      <c r="E9" s="16" t="str">
        <f>IF(B9="","", IFERROR(IF(OR(VLOOKUP(4, Data_Source!$A$2:$AZ$1000, 49, FALSE)="", VLOOKUP(4, Data_Source!$A$2:$AZ$1000, 49, FALSE)=0), "None", VLOOKUP(4, Data_Source!$A$2:$AZ$1000, 49, FALSE)), ""))</f>
        <v>None</v>
      </c>
    </row>
    <row r="10" spans="2:5" ht="40" customHeight="1" x14ac:dyDescent="0.35">
      <c r="B10" s="16" t="str">
        <f>IF(ISERROR(MATCH(5, Data_Source!$A$2:$A$1000, 0)), "", IFERROR(VLOOKUP(5, Data_Source!$A$2:$AZ$1000, 3, FALSE) &amp; "", ""))</f>
        <v>Nguyễn Minh Quang</v>
      </c>
      <c r="C10" s="16" t="str">
        <f>IF(B10="","", IFERROR(IF(OR(VLOOKUP(5, Data_Source!$A$2:$AZ$1000, 50, FALSE)="", VLOOKUP(5, Data_Source!$A$2:$AZ$1000, 50, FALSE)=0), "None", VLOOKUP(5, Data_Source!$A$2:$AZ$1000, 50, FALSE)), ""))</f>
        <v>Môn nào cũng cần, cũng hay ho hết à Thầy</v>
      </c>
      <c r="D10" s="16" t="str">
        <f>IF(B10="","", IFERROR(IF(OR(VLOOKUP(5, Data_Source!$A$2:$AZ$1000, 51, FALSE)="", VLOOKUP(5, Data_Source!$A$2:$AZ$1000, 51, FALSE)=0), "None", VLOOKUP(5, Data_Source!$A$2:$AZ$1000, 51, FALSE)), ""))</f>
        <v>Tăng thời gian thực hành cho các môn Cảm biến, tín hiệu số. (Đề nghị) thêm học phần (hoặc 1 chủ đề của học phần nào đó) về phân tích sự cố, hướng logic, hướng xử lý, cách xử lý... rất cần cho sau này các em làm Kỹ thuật nhà máy</v>
      </c>
      <c r="E10" s="16" t="str">
        <f>IF(B10="","", IFERROR(IF(OR(VLOOKUP(5, Data_Source!$A$2:$AZ$1000, 49, FALSE)="", VLOOKUP(5, Data_Source!$A$2:$AZ$1000, 49, FALSE)=0), "None", VLOOKUP(5, Data_Source!$A$2:$AZ$1000, 49, FALSE)), ""))</f>
        <v>None</v>
      </c>
    </row>
    <row r="11" spans="2:5" ht="40" customHeight="1" x14ac:dyDescent="0.35">
      <c r="B11" s="16" t="str">
        <f>IF(ISERROR(MATCH(6, Data_Source!$A$2:$A$1000, 0)), "", IFERROR(VLOOKUP(6, Data_Source!$A$2:$AZ$1000, 3, FALSE) &amp; "", ""))</f>
        <v>Dương Thanh Thảo</v>
      </c>
      <c r="C11" s="16" t="str">
        <f>IF(B11="","", IFERROR(IF(OR(VLOOKUP(6, Data_Source!$A$2:$AZ$1000, 50, FALSE)="", VLOOKUP(6, Data_Source!$A$2:$AZ$1000, 50, FALSE)=0), "None", VLOOKUP(6, Data_Source!$A$2:$AZ$1000, 50, FALSE)), ""))</f>
        <v>Không ý kiến</v>
      </c>
      <c r="D11" s="16" t="str">
        <f>IF(B11="","", IFERROR(IF(OR(VLOOKUP(6, Data_Source!$A$2:$AZ$1000, 51, FALSE)="", VLOOKUP(6, Data_Source!$A$2:$AZ$1000, 51, FALSE)=0), "None", VLOOKUP(6, Data_Source!$A$2:$AZ$1000, 51, FALSE)), ""))</f>
        <v>Các kỹ năng mềm, kỹ năng lãnh đạo,..</v>
      </c>
      <c r="E11" s="16" t="str">
        <f>IF(B11="","", IFERROR(IF(OR(VLOOKUP(6, Data_Source!$A$2:$AZ$1000, 49, FALSE)="", VLOOKUP(6, Data_Source!$A$2:$AZ$1000, 49, FALSE)=0), "None", VLOOKUP(6, Data_Source!$A$2:$AZ$1000, 49, FALSE)), ""))</f>
        <v>Cải cách chương trình đào tạo, đưa các ngành phù hợp với xu hướng hiện tại. ĐỊnh hướng nghề nghiệp cho sinh viên rõ ràng hơn, tổ chức liên tục các chương trình định hướng nghề nghiệp, đào tạo thêm về tư duy nghề nghiệp, các kỹ năng mềm, kỹ năng phỏng vấn, viết CV..</v>
      </c>
    </row>
    <row r="12" spans="2:5" ht="40" customHeight="1" x14ac:dyDescent="0.35">
      <c r="B12" s="16" t="str">
        <f>IF(ISERROR(MATCH(7, Data_Source!$A$2:$A$1000, 0)), "", IFERROR(VLOOKUP(7, Data_Source!$A$2:$AZ$1000, 3, FALSE) &amp; "", ""))</f>
        <v>Huỳnh Hoàng Phú</v>
      </c>
      <c r="C12" s="16" t="str">
        <f>IF(B12="","", IFERROR(IF(OR(VLOOKUP(7, Data_Source!$A$2:$AZ$1000, 50, FALSE)="", VLOOKUP(7, Data_Source!$A$2:$AZ$1000, 50, FALSE)=0), "None", VLOOKUP(7, Data_Source!$A$2:$AZ$1000, 50, FALSE)), ""))</f>
        <v>Không ý kiến</v>
      </c>
      <c r="D12" s="16" t="str">
        <f>IF(B12="","", IFERROR(IF(OR(VLOOKUP(7, Data_Source!$A$2:$AZ$1000, 51, FALSE)="", VLOOKUP(7, Data_Source!$A$2:$AZ$1000, 51, FALSE)=0), "None", VLOOKUP(7, Data_Source!$A$2:$AZ$1000, 51, FALSE)), ""))</f>
        <v>Kỹ năng cơ bản về máy tính, truyền thông công nghiệp.</v>
      </c>
      <c r="E12" s="16" t="str">
        <f>IF(B12="","", IFERROR(IF(OR(VLOOKUP(7, Data_Source!$A$2:$AZ$1000, 49, FALSE)="", VLOOKUP(7, Data_Source!$A$2:$AZ$1000, 49, FALSE)=0), "None", VLOOKUP(7, Data_Source!$A$2:$AZ$1000, 49, FALSE)), ""))</f>
        <v>Cần cải thiện khả năng giao tiếp, làm việc nhóm và thực hành</v>
      </c>
    </row>
    <row r="13" spans="2:5" ht="40" customHeight="1" x14ac:dyDescent="0.35">
      <c r="B13" s="16" t="str">
        <f>IF(ISERROR(MATCH(8, Data_Source!$A$2:$A$1000, 0)), "", IFERROR(VLOOKUP(8, Data_Source!$A$2:$AZ$1000, 3, FALSE) &amp; "", ""))</f>
        <v>Ngô Thế Chung</v>
      </c>
      <c r="C13" s="16" t="str">
        <f>IF(B13="","", IFERROR(IF(OR(VLOOKUP(8, Data_Source!$A$2:$AZ$1000, 50, FALSE)="", VLOOKUP(8, Data_Source!$A$2:$AZ$1000, 50, FALSE)=0), "None", VLOOKUP(8, Data_Source!$A$2:$AZ$1000, 50, FALSE)), ""))</f>
        <v>None</v>
      </c>
      <c r="D13" s="16" t="str">
        <f>IF(B13="","", IFERROR(IF(OR(VLOOKUP(8, Data_Source!$A$2:$AZ$1000, 51, FALSE)="", VLOOKUP(8, Data_Source!$A$2:$AZ$1000, 51, FALSE)=0), "None", VLOOKUP(8, Data_Source!$A$2:$AZ$1000, 51, FALSE)), ""))</f>
        <v xml:space="preserve">Khảo sát, tham quan nhà máy </v>
      </c>
      <c r="E13" s="16" t="str">
        <f>IF(B13="","", IFERROR(IF(OR(VLOOKUP(8, Data_Source!$A$2:$AZ$1000, 49, FALSE)="", VLOOKUP(8, Data_Source!$A$2:$AZ$1000, 49, FALSE)=0), "None", VLOOKUP(8, Data_Source!$A$2:$AZ$1000, 49, FALSE)), ""))</f>
        <v>None</v>
      </c>
    </row>
    <row r="14" spans="2:5" ht="40" customHeight="1" x14ac:dyDescent="0.35">
      <c r="B14" s="16" t="str">
        <f>IF(ISERROR(MATCH(9, Data_Source!$A$2:$A$1000, 0)), "", IFERROR(VLOOKUP(9, Data_Source!$A$2:$AZ$1000, 3, FALSE) &amp; "", ""))</f>
        <v>Phạm Nguyễn Anh Pha</v>
      </c>
      <c r="C14" s="16" t="str">
        <f>IF(B14="","", IFERROR(IF(OR(VLOOKUP(9, Data_Source!$A$2:$AZ$1000, 50, FALSE)="", VLOOKUP(9, Data_Source!$A$2:$AZ$1000, 50, FALSE)=0), "None", VLOOKUP(9, Data_Source!$A$2:$AZ$1000, 50, FALSE)), ""))</f>
        <v>None</v>
      </c>
      <c r="D14" s="16" t="str">
        <f>IF(B14="","", IFERROR(IF(OR(VLOOKUP(9, Data_Source!$A$2:$AZ$1000, 51, FALSE)="", VLOOKUP(9, Data_Source!$A$2:$AZ$1000, 51, FALSE)=0), "None", VLOOKUP(9, Data_Source!$A$2:$AZ$1000, 51, FALSE)), ""))</f>
        <v>None</v>
      </c>
      <c r="E14" s="16" t="str">
        <f>IF(B14="","", IFERROR(IF(OR(VLOOKUP(9, Data_Source!$A$2:$AZ$1000, 49, FALSE)="", VLOOKUP(9, Data_Source!$A$2:$AZ$1000, 49, FALSE)=0), "None", VLOOKUP(9, Data_Source!$A$2:$AZ$1000, 49, FALSE)), ""))</f>
        <v>None</v>
      </c>
    </row>
    <row r="15" spans="2:5" ht="40" customHeight="1" x14ac:dyDescent="0.35">
      <c r="B15" s="16" t="str">
        <f>IF(ISERROR(MATCH(10, Data_Source!$A$2:$A$1000, 0)), "", IFERROR(VLOOKUP(10, Data_Source!$A$2:$AZ$1000, 3, FALSE) &amp; "", ""))</f>
        <v>Hoàng Phi Hùng</v>
      </c>
      <c r="C15" s="16" t="str">
        <f>IF(B15="","", IFERROR(IF(OR(VLOOKUP(10, Data_Source!$A$2:$AZ$1000, 50, FALSE)="", VLOOKUP(10, Data_Source!$A$2:$AZ$1000, 50, FALSE)=0), "None", VLOOKUP(10, Data_Source!$A$2:$AZ$1000, 50, FALSE)), ""))</f>
        <v>None</v>
      </c>
      <c r="D15" s="16" t="str">
        <f>IF(B15="","", IFERROR(IF(OR(VLOOKUP(10, Data_Source!$A$2:$AZ$1000, 51, FALSE)="", VLOOKUP(10, Data_Source!$A$2:$AZ$1000, 51, FALSE)=0), "None", VLOOKUP(10, Data_Source!$A$2:$AZ$1000, 51, FALSE)), ""))</f>
        <v>None</v>
      </c>
      <c r="E15" s="16" t="str">
        <f>IF(B15="","", IFERROR(IF(OR(VLOOKUP(10, Data_Source!$A$2:$AZ$1000, 49, FALSE)="", VLOOKUP(10, Data_Source!$A$2:$AZ$1000, 49, FALSE)=0), "None", VLOOKUP(10, Data_Source!$A$2:$AZ$1000, 49, FALSE)), ""))</f>
        <v>None</v>
      </c>
    </row>
    <row r="16" spans="2:5" ht="40" customHeight="1" x14ac:dyDescent="0.35">
      <c r="B16" s="16" t="str">
        <f>IF(ISERROR(MATCH(11, Data_Source!$A$2:$A$1000, 0)), "", IFERROR(VLOOKUP(11, Data_Source!$A$2:$AZ$1000, 3, FALSE) &amp; "", ""))</f>
        <v>Nguyễn Tự Hiếu</v>
      </c>
      <c r="C16" s="16" t="str">
        <f>IF(B16="","", IFERROR(IF(OR(VLOOKUP(11, Data_Source!$A$2:$AZ$1000, 50, FALSE)="", VLOOKUP(11, Data_Source!$A$2:$AZ$1000, 50, FALSE)=0), "None", VLOOKUP(11, Data_Source!$A$2:$AZ$1000, 50, FALSE)), ""))</f>
        <v>Không</v>
      </c>
      <c r="D16" s="16" t="str">
        <f>IF(B16="","", IFERROR(IF(OR(VLOOKUP(11, Data_Source!$A$2:$AZ$1000, 51, FALSE)="", VLOOKUP(11, Data_Source!$A$2:$AZ$1000, 51, FALSE)=0), "None", VLOOKUP(11, Data_Source!$A$2:$AZ$1000, 51, FALSE)), ""))</f>
        <v>Giám sát điều khiển qua máy tính</v>
      </c>
      <c r="E16" s="16" t="str">
        <f>IF(B16="","", IFERROR(IF(OR(VLOOKUP(11, Data_Source!$A$2:$AZ$1000, 49, FALSE)="", VLOOKUP(11, Data_Source!$A$2:$AZ$1000, 49, FALSE)=0), "None", VLOOKUP(11, Data_Source!$A$2:$AZ$1000, 49, FALSE)), ""))</f>
        <v>None</v>
      </c>
    </row>
    <row r="17" spans="2:5" ht="40" customHeight="1" x14ac:dyDescent="0.35">
      <c r="B17" s="16" t="str">
        <f>IF(ISERROR(MATCH(12, Data_Source!$A$2:$A$1000, 0)), "", IFERROR(VLOOKUP(12, Data_Source!$A$2:$AZ$1000, 3, FALSE) &amp; "", ""))</f>
        <v>Lê Kim Bảo</v>
      </c>
      <c r="C17" s="16" t="str">
        <f>IF(B17="","", IFERROR(IF(OR(VLOOKUP(12, Data_Source!$A$2:$AZ$1000, 50, FALSE)="", VLOOKUP(12, Data_Source!$A$2:$AZ$1000, 50, FALSE)=0), "None", VLOOKUP(12, Data_Source!$A$2:$AZ$1000, 50, FALSE)), ""))</f>
        <v>None</v>
      </c>
      <c r="D17" s="16" t="str">
        <f>IF(B17="","", IFERROR(IF(OR(VLOOKUP(12, Data_Source!$A$2:$AZ$1000, 51, FALSE)="", VLOOKUP(12, Data_Source!$A$2:$AZ$1000, 51, FALSE)=0), "None", VLOOKUP(12, Data_Source!$A$2:$AZ$1000, 51, FALSE)), ""))</f>
        <v>None</v>
      </c>
      <c r="E17" s="16" t="str">
        <f>IF(B17="","", IFERROR(IF(OR(VLOOKUP(12, Data_Source!$A$2:$AZ$1000, 49, FALSE)="", VLOOKUP(12, Data_Source!$A$2:$AZ$1000, 49, FALSE)=0), "None", VLOOKUP(12, Data_Source!$A$2:$AZ$1000, 49, FALSE)), ""))</f>
        <v>Không</v>
      </c>
    </row>
    <row r="18" spans="2:5" ht="40" customHeight="1" x14ac:dyDescent="0.35">
      <c r="B18" s="16" t="str">
        <f>IF(ISERROR(MATCH(13, Data_Source!$A$2:$A$1000, 0)), "", IFERROR(VLOOKUP(13, Data_Source!$A$2:$AZ$1000, 3, FALSE) &amp; "", ""))</f>
        <v>So Tấn Luy</v>
      </c>
      <c r="C18" s="16" t="str">
        <f>IF(B18="","", IFERROR(IF(OR(VLOOKUP(13, Data_Source!$A$2:$AZ$1000, 50, FALSE)="", VLOOKUP(13, Data_Source!$A$2:$AZ$1000, 50, FALSE)=0), "None", VLOOKUP(13, Data_Source!$A$2:$AZ$1000, 50, FALSE)), ""))</f>
        <v>Tăng thời gian thực tập và làm nhiều bài tập</v>
      </c>
      <c r="D18" s="16" t="str">
        <f>IF(B18="","", IFERROR(IF(OR(VLOOKUP(13, Data_Source!$A$2:$AZ$1000, 51, FALSE)="", VLOOKUP(13, Data_Source!$A$2:$AZ$1000, 51, FALSE)=0), "None", VLOOKUP(13, Data_Source!$A$2:$AZ$1000, 51, FALSE)), ""))</f>
        <v xml:space="preserve">Làm nhiều bài tập khó </v>
      </c>
      <c r="E18" s="16" t="str">
        <f>IF(B18="","", IFERROR(IF(OR(VLOOKUP(13, Data_Source!$A$2:$AZ$1000, 49, FALSE)="", VLOOKUP(13, Data_Source!$A$2:$AZ$1000, 49, FALSE)=0), "None", VLOOKUP(13, Data_Source!$A$2:$AZ$1000, 49, FALSE)), ""))</f>
        <v xml:space="preserve">Tạo điều kiện cho sinh viên làm quen với các ứng dụng tự động hóa trong Công nghiệp như thế kế mạch điều khiển, lập trình PLC và Robot . xây dựng tư duy hệ thống và quy trình </v>
      </c>
    </row>
    <row r="19" spans="2:5" ht="40" customHeight="1" x14ac:dyDescent="0.35">
      <c r="B19" s="16" t="str">
        <f>IF(ISERROR(MATCH(14, Data_Source!$A$2:$A$1000, 0)), "", IFERROR(VLOOKUP(14, Data_Source!$A$2:$AZ$1000, 3, FALSE) &amp; "", ""))</f>
        <v>NGUYỄN THỊ KIỀU TRINH</v>
      </c>
      <c r="C19" s="16" t="str">
        <f>IF(B19="","", IFERROR(IF(OR(VLOOKUP(14, Data_Source!$A$2:$AZ$1000, 50, FALSE)="", VLOOKUP(14, Data_Source!$A$2:$AZ$1000, 50, FALSE)=0), "None", VLOOKUP(14, Data_Source!$A$2:$AZ$1000, 50, FALSE)), ""))</f>
        <v>Không có</v>
      </c>
      <c r="D19" s="16" t="str">
        <f>IF(B19="","", IFERROR(IF(OR(VLOOKUP(14, Data_Source!$A$2:$AZ$1000, 51, FALSE)="", VLOOKUP(14, Data_Source!$A$2:$AZ$1000, 51, FALSE)=0), "None", VLOOKUP(14, Data_Source!$A$2:$AZ$1000, 51, FALSE)), ""))</f>
        <v>Không có</v>
      </c>
      <c r="E19" s="16" t="str">
        <f>IF(B19="","", IFERROR(IF(OR(VLOOKUP(14, Data_Source!$A$2:$AZ$1000, 49, FALSE)="", VLOOKUP(14, Data_Source!$A$2:$AZ$1000, 49, FALSE)=0), "None", VLOOKUP(14, Data_Source!$A$2:$AZ$1000, 49, FALSE)), ""))</f>
        <v>None</v>
      </c>
    </row>
    <row r="20" spans="2:5" ht="40" customHeight="1" x14ac:dyDescent="0.35">
      <c r="B20" s="16" t="str">
        <f>IF(ISERROR(MATCH(15, Data_Source!$A$2:$A$1000, 0)), "", IFERROR(VLOOKUP(15, Data_Source!$A$2:$AZ$1000, 3, FALSE) &amp; "", ""))</f>
        <v>Nguyễn Thị Mỹ Linh</v>
      </c>
      <c r="C20" s="16" t="str">
        <f>IF(B20="","", IFERROR(IF(OR(VLOOKUP(15, Data_Source!$A$2:$AZ$1000, 50, FALSE)="", VLOOKUP(15, Data_Source!$A$2:$AZ$1000, 50, FALSE)=0), "None", VLOOKUP(15, Data_Source!$A$2:$AZ$1000, 50, FALSE)), ""))</f>
        <v>None</v>
      </c>
      <c r="D20" s="16" t="str">
        <f>IF(B20="","", IFERROR(IF(OR(VLOOKUP(15, Data_Source!$A$2:$AZ$1000, 51, FALSE)="", VLOOKUP(15, Data_Source!$A$2:$AZ$1000, 51, FALSE)=0), "None", VLOOKUP(15, Data_Source!$A$2:$AZ$1000, 51, FALSE)), ""))</f>
        <v>None</v>
      </c>
      <c r="E20" s="16" t="str">
        <f>IF(B20="","", IFERROR(IF(OR(VLOOKUP(15, Data_Source!$A$2:$AZ$1000, 49, FALSE)="", VLOOKUP(15, Data_Source!$A$2:$AZ$1000, 49, FALSE)=0), "None", VLOOKUP(15, Data_Source!$A$2:$AZ$1000, 49, FALSE)), ""))</f>
        <v>None</v>
      </c>
    </row>
    <row r="21" spans="2:5" ht="40" customHeight="1" x14ac:dyDescent="0.35">
      <c r="B21" s="16" t="str">
        <f>IF(ISERROR(MATCH(16, Data_Source!$A$2:$A$1000, 0)), "", IFERROR(VLOOKUP(16, Data_Source!$A$2:$AZ$1000, 3, FALSE) &amp; "", ""))</f>
        <v>Phan Thị Mạnh Thắng</v>
      </c>
      <c r="C21" s="16" t="str">
        <f>IF(B21="","", IFERROR(IF(OR(VLOOKUP(16, Data_Source!$A$2:$AZ$1000, 50, FALSE)="", VLOOKUP(16, Data_Source!$A$2:$AZ$1000, 50, FALSE)=0), "None", VLOOKUP(16, Data_Source!$A$2:$AZ$1000, 50, FALSE)), ""))</f>
        <v>None</v>
      </c>
      <c r="D21" s="16" t="str">
        <f>IF(B21="","", IFERROR(IF(OR(VLOOKUP(16, Data_Source!$A$2:$AZ$1000, 51, FALSE)="", VLOOKUP(16, Data_Source!$A$2:$AZ$1000, 51, FALSE)=0), "None", VLOOKUP(16, Data_Source!$A$2:$AZ$1000, 51, FALSE)), ""))</f>
        <v>None</v>
      </c>
      <c r="E21" s="16" t="str">
        <f>IF(B21="","", IFERROR(IF(OR(VLOOKUP(16, Data_Source!$A$2:$AZ$1000, 49, FALSE)="", VLOOKUP(16, Data_Source!$A$2:$AZ$1000, 49, FALSE)=0), "None", VLOOKUP(16, Data_Source!$A$2:$AZ$1000, 49, FALSE)), ""))</f>
        <v>None</v>
      </c>
    </row>
    <row r="22" spans="2:5" ht="40" customHeight="1" x14ac:dyDescent="0.35">
      <c r="B22" s="16" t="str">
        <f>IF(ISERROR(MATCH(17, Data_Source!$A$2:$A$1000, 0)), "", IFERROR(VLOOKUP(17, Data_Source!$A$2:$AZ$1000, 3, FALSE) &amp; "", ""))</f>
        <v>Trần Phát</v>
      </c>
      <c r="C22" s="16" t="str">
        <f>IF(B22="","", IFERROR(IF(OR(VLOOKUP(17, Data_Source!$A$2:$AZ$1000, 50, FALSE)="", VLOOKUP(17, Data_Source!$A$2:$AZ$1000, 50, FALSE)=0), "None", VLOOKUP(17, Data_Source!$A$2:$AZ$1000, 50, FALSE)), ""))</f>
        <v>None</v>
      </c>
      <c r="D22" s="16" t="str">
        <f>IF(B22="","", IFERROR(IF(OR(VLOOKUP(17, Data_Source!$A$2:$AZ$1000, 51, FALSE)="", VLOOKUP(17, Data_Source!$A$2:$AZ$1000, 51, FALSE)=0), "None", VLOOKUP(17, Data_Source!$A$2:$AZ$1000, 51, FALSE)), ""))</f>
        <v>None</v>
      </c>
      <c r="E22" s="16" t="str">
        <f>IF(B22="","", IFERROR(IF(OR(VLOOKUP(17, Data_Source!$A$2:$AZ$1000, 49, FALSE)="", VLOOKUP(17, Data_Source!$A$2:$AZ$1000, 49, FALSE)=0), "None", VLOOKUP(17, Data_Source!$A$2:$AZ$1000, 49, FALSE)), ""))</f>
        <v>None</v>
      </c>
    </row>
    <row r="23" spans="2:5" ht="40" customHeight="1" x14ac:dyDescent="0.35">
      <c r="B23" s="16" t="str">
        <f>IF(ISERROR(MATCH(18, Data_Source!$A$2:$A$1000, 0)), "", IFERROR(VLOOKUP(18, Data_Source!$A$2:$AZ$1000, 3, FALSE) &amp; "", ""))</f>
        <v>Nguyễn Công Thiện</v>
      </c>
      <c r="C23" s="16" t="str">
        <f>IF(B23="","", IFERROR(IF(OR(VLOOKUP(18, Data_Source!$A$2:$AZ$1000, 50, FALSE)="", VLOOKUP(18, Data_Source!$A$2:$AZ$1000, 50, FALSE)=0), "None", VLOOKUP(18, Data_Source!$A$2:$AZ$1000, 50, FALSE)), ""))</f>
        <v>None</v>
      </c>
      <c r="D23" s="16" t="str">
        <f>IF(B23="","", IFERROR(IF(OR(VLOOKUP(18, Data_Source!$A$2:$AZ$1000, 51, FALSE)="", VLOOKUP(18, Data_Source!$A$2:$AZ$1000, 51, FALSE)=0), "None", VLOOKUP(18, Data_Source!$A$2:$AZ$1000, 51, FALSE)), ""))</f>
        <v>None</v>
      </c>
      <c r="E23" s="16" t="str">
        <f>IF(B23="","", IFERROR(IF(OR(VLOOKUP(18, Data_Source!$A$2:$AZ$1000, 49, FALSE)="", VLOOKUP(18, Data_Source!$A$2:$AZ$1000, 49, FALSE)=0), "None", VLOOKUP(18, Data_Source!$A$2:$AZ$1000, 49, FALSE)), ""))</f>
        <v>None</v>
      </c>
    </row>
    <row r="24" spans="2:5" ht="40" customHeight="1" x14ac:dyDescent="0.35">
      <c r="B24" s="16" t="str">
        <f>IF(ISERROR(MATCH(19, Data_Source!$A$2:$A$1000, 0)), "", IFERROR(VLOOKUP(19, Data_Source!$A$2:$AZ$1000, 3, FALSE) &amp; "", ""))</f>
        <v/>
      </c>
      <c r="C24" s="16" t="str">
        <f>IF(B24="","", IFERROR(IF(OR(VLOOKUP(19, Data_Source!$A$2:$AZ$1000, 50, FALSE)="", VLOOKUP(19, Data_Source!$A$2:$AZ$1000, 50, FALSE)=0), "None", VLOOKUP(19, Data_Source!$A$2:$AZ$1000, 50, FALSE)), ""))</f>
        <v/>
      </c>
      <c r="D24" s="16" t="str">
        <f>IF(B24="","", IFERROR(IF(OR(VLOOKUP(19, Data_Source!$A$2:$AZ$1000, 51, FALSE)="", VLOOKUP(19, Data_Source!$A$2:$AZ$1000, 51, FALSE)=0), "None", VLOOKUP(19, Data_Source!$A$2:$AZ$1000, 51, FALSE)), ""))</f>
        <v/>
      </c>
      <c r="E24" s="16" t="str">
        <f>IF(B24="","", IFERROR(IF(OR(VLOOKUP(19, Data_Source!$A$2:$AZ$1000, 49, FALSE)="", VLOOKUP(19, Data_Source!$A$2:$AZ$1000, 49, FALSE)=0), "None", VLOOKUP(19, Data_Source!$A$2:$AZ$1000, 49, FALSE)), ""))</f>
        <v/>
      </c>
    </row>
    <row r="25" spans="2:5" ht="40" customHeight="1" x14ac:dyDescent="0.35">
      <c r="B25" s="16" t="str">
        <f>IF(ISERROR(MATCH(20, Data_Source!$A$2:$A$1000, 0)), "", IFERROR(VLOOKUP(20, Data_Source!$A$2:$AZ$1000, 3, FALSE) &amp; "", ""))</f>
        <v/>
      </c>
      <c r="C25" s="16" t="str">
        <f>IF(B25="","", IFERROR(IF(OR(VLOOKUP(20, Data_Source!$A$2:$AZ$1000, 50, FALSE)="", VLOOKUP(20, Data_Source!$A$2:$AZ$1000, 50, FALSE)=0), "None", VLOOKUP(20, Data_Source!$A$2:$AZ$1000, 50, FALSE)), ""))</f>
        <v/>
      </c>
      <c r="D25" s="16" t="str">
        <f>IF(B25="","", IFERROR(IF(OR(VLOOKUP(20, Data_Source!$A$2:$AZ$1000, 51, FALSE)="", VLOOKUP(20, Data_Source!$A$2:$AZ$1000, 51, FALSE)=0), "None", VLOOKUP(20, Data_Source!$A$2:$AZ$1000, 51, FALSE)), ""))</f>
        <v/>
      </c>
      <c r="E25" s="16" t="str">
        <f>IF(B25="","", IFERROR(IF(OR(VLOOKUP(20, Data_Source!$A$2:$AZ$1000, 49, FALSE)="", VLOOKUP(20, Data_Source!$A$2:$AZ$1000, 49, FALSE)=0), "None", VLOOKUP(20, Data_Source!$A$2:$AZ$1000, 49, FALSE)), ""))</f>
        <v/>
      </c>
    </row>
    <row r="26" spans="2:5" ht="40" customHeight="1" x14ac:dyDescent="0.35">
      <c r="B26" s="16" t="str">
        <f>IF(ISERROR(MATCH(21, Data_Source!$A$2:$A$1000, 0)), "", IFERROR(VLOOKUP(21, Data_Source!$A$2:$AZ$1000, 3, FALSE) &amp; "", ""))</f>
        <v/>
      </c>
      <c r="C26" s="16" t="str">
        <f>IF(B26="","", IFERROR(IF(OR(VLOOKUP(21, Data_Source!$A$2:$AZ$1000, 50, FALSE)="", VLOOKUP(21, Data_Source!$A$2:$AZ$1000, 50, FALSE)=0), "None", VLOOKUP(21, Data_Source!$A$2:$AZ$1000, 50, FALSE)), ""))</f>
        <v/>
      </c>
      <c r="D26" s="16" t="str">
        <f>IF(B26="","", IFERROR(IF(OR(VLOOKUP(21, Data_Source!$A$2:$AZ$1000, 51, FALSE)="", VLOOKUP(21, Data_Source!$A$2:$AZ$1000, 51, FALSE)=0), "None", VLOOKUP(21, Data_Source!$A$2:$AZ$1000, 51, FALSE)), ""))</f>
        <v/>
      </c>
      <c r="E26" s="16" t="str">
        <f>IF(B26="","", IFERROR(IF(OR(VLOOKUP(21, Data_Source!$A$2:$AZ$1000, 49, FALSE)="", VLOOKUP(21, Data_Source!$A$2:$AZ$1000, 49, FALSE)=0), "None", VLOOKUP(21, Data_Source!$A$2:$AZ$1000, 49, FALSE)), ""))</f>
        <v/>
      </c>
    </row>
    <row r="27" spans="2:5" ht="40" customHeight="1" x14ac:dyDescent="0.35">
      <c r="B27" s="16" t="str">
        <f>IF(ISERROR(MATCH(22, Data_Source!$A$2:$A$1000, 0)), "", IFERROR(VLOOKUP(22, Data_Source!$A$2:$AZ$1000, 3, FALSE) &amp; "", ""))</f>
        <v/>
      </c>
      <c r="C27" s="16" t="str">
        <f>IF(B27="","", IFERROR(IF(OR(VLOOKUP(22, Data_Source!$A$2:$AZ$1000, 50, FALSE)="", VLOOKUP(22, Data_Source!$A$2:$AZ$1000, 50, FALSE)=0), "None", VLOOKUP(22, Data_Source!$A$2:$AZ$1000, 50, FALSE)), ""))</f>
        <v/>
      </c>
      <c r="D27" s="16" t="str">
        <f>IF(B27="","", IFERROR(IF(OR(VLOOKUP(22, Data_Source!$A$2:$AZ$1000, 51, FALSE)="", VLOOKUP(22, Data_Source!$A$2:$AZ$1000, 51, FALSE)=0), "None", VLOOKUP(22, Data_Source!$A$2:$AZ$1000, 51, FALSE)), ""))</f>
        <v/>
      </c>
      <c r="E27" s="16" t="str">
        <f>IF(B27="","", IFERROR(IF(OR(VLOOKUP(22, Data_Source!$A$2:$AZ$1000, 49, FALSE)="", VLOOKUP(22, Data_Source!$A$2:$AZ$1000, 49, FALSE)=0), "None", VLOOKUP(22, Data_Source!$A$2:$AZ$1000, 49, FALSE)), ""))</f>
        <v/>
      </c>
    </row>
    <row r="28" spans="2:5" ht="40" customHeight="1" x14ac:dyDescent="0.35">
      <c r="B28" s="16" t="str">
        <f>IF(ISERROR(MATCH(23, Data_Source!$A$2:$A$1000, 0)), "", IFERROR(VLOOKUP(23, Data_Source!$A$2:$AZ$1000, 3, FALSE) &amp; "", ""))</f>
        <v/>
      </c>
      <c r="C28" s="16" t="str">
        <f>IF(B28="","", IFERROR(IF(OR(VLOOKUP(23, Data_Source!$A$2:$AZ$1000, 50, FALSE)="", VLOOKUP(23, Data_Source!$A$2:$AZ$1000, 50, FALSE)=0), "None", VLOOKUP(23, Data_Source!$A$2:$AZ$1000, 50, FALSE)), ""))</f>
        <v/>
      </c>
      <c r="D28" s="16" t="str">
        <f>IF(B28="","", IFERROR(IF(OR(VLOOKUP(23, Data_Source!$A$2:$AZ$1000, 51, FALSE)="", VLOOKUP(23, Data_Source!$A$2:$AZ$1000, 51, FALSE)=0), "None", VLOOKUP(23, Data_Source!$A$2:$AZ$1000, 51, FALSE)), ""))</f>
        <v/>
      </c>
      <c r="E28" s="16" t="str">
        <f>IF(B28="","", IFERROR(IF(OR(VLOOKUP(23, Data_Source!$A$2:$AZ$1000, 49, FALSE)="", VLOOKUP(23, Data_Source!$A$2:$AZ$1000, 49, FALSE)=0), "None", VLOOKUP(23, Data_Source!$A$2:$AZ$1000, 49, FALSE)), ""))</f>
        <v/>
      </c>
    </row>
    <row r="29" spans="2:5" ht="40" customHeight="1" x14ac:dyDescent="0.35">
      <c r="B29" s="16" t="str">
        <f>IF(ISERROR(MATCH(24, Data_Source!$A$2:$A$1000, 0)), "", IFERROR(VLOOKUP(24, Data_Source!$A$2:$AZ$1000, 3, FALSE) &amp; "", ""))</f>
        <v/>
      </c>
      <c r="C29" s="16" t="str">
        <f>IF(B29="","", IFERROR(IF(OR(VLOOKUP(24, Data_Source!$A$2:$AZ$1000, 50, FALSE)="", VLOOKUP(24, Data_Source!$A$2:$AZ$1000, 50, FALSE)=0), "None", VLOOKUP(24, Data_Source!$A$2:$AZ$1000, 50, FALSE)), ""))</f>
        <v/>
      </c>
      <c r="D29" s="16" t="str">
        <f>IF(B29="","", IFERROR(IF(OR(VLOOKUP(24, Data_Source!$A$2:$AZ$1000, 51, FALSE)="", VLOOKUP(24, Data_Source!$A$2:$AZ$1000, 51, FALSE)=0), "None", VLOOKUP(24, Data_Source!$A$2:$AZ$1000, 51, FALSE)), ""))</f>
        <v/>
      </c>
      <c r="E29" s="16" t="str">
        <f>IF(B29="","", IFERROR(IF(OR(VLOOKUP(24, Data_Source!$A$2:$AZ$1000, 49, FALSE)="", VLOOKUP(24, Data_Source!$A$2:$AZ$1000, 49, FALSE)=0), "None", VLOOKUP(24, Data_Source!$A$2:$AZ$1000, 49, FALSE)), ""))</f>
        <v/>
      </c>
    </row>
    <row r="30" spans="2:5" ht="40" customHeight="1" x14ac:dyDescent="0.35">
      <c r="B30" s="16" t="str">
        <f>IF(ISERROR(MATCH(25, Data_Source!$A$2:$A$1000, 0)), "", IFERROR(VLOOKUP(25, Data_Source!$A$2:$AZ$1000, 3, FALSE) &amp; "", ""))</f>
        <v/>
      </c>
      <c r="C30" s="16" t="str">
        <f>IF(B30="","", IFERROR(IF(OR(VLOOKUP(25, Data_Source!$A$2:$AZ$1000, 50, FALSE)="", VLOOKUP(25, Data_Source!$A$2:$AZ$1000, 50, FALSE)=0), "None", VLOOKUP(25, Data_Source!$A$2:$AZ$1000, 50, FALSE)), ""))</f>
        <v/>
      </c>
      <c r="D30" s="16" t="str">
        <f>IF(B30="","", IFERROR(IF(OR(VLOOKUP(25, Data_Source!$A$2:$AZ$1000, 51, FALSE)="", VLOOKUP(25, Data_Source!$A$2:$AZ$1000, 51, FALSE)=0), "None", VLOOKUP(25, Data_Source!$A$2:$AZ$1000, 51, FALSE)), ""))</f>
        <v/>
      </c>
      <c r="E30" s="16" t="str">
        <f>IF(B30="","", IFERROR(IF(OR(VLOOKUP(25, Data_Source!$A$2:$AZ$1000, 49, FALSE)="", VLOOKUP(25, Data_Source!$A$2:$AZ$1000, 49, FALSE)=0), "None", VLOOKUP(25, Data_Source!$A$2:$AZ$1000, 49, FALSE)), ""))</f>
        <v/>
      </c>
    </row>
    <row r="31" spans="2:5" ht="40" customHeight="1" x14ac:dyDescent="0.35">
      <c r="B31" s="16" t="str">
        <f>IF(ISERROR(MATCH(26, Data_Source!$A$2:$A$1000, 0)), "", IFERROR(VLOOKUP(26, Data_Source!$A$2:$AZ$1000, 3, FALSE) &amp; "", ""))</f>
        <v/>
      </c>
      <c r="C31" s="16" t="str">
        <f>IF(B31="","", IFERROR(IF(OR(VLOOKUP(26, Data_Source!$A$2:$AZ$1000, 50, FALSE)="", VLOOKUP(26, Data_Source!$A$2:$AZ$1000, 50, FALSE)=0), "None", VLOOKUP(26, Data_Source!$A$2:$AZ$1000, 50, FALSE)), ""))</f>
        <v/>
      </c>
      <c r="D31" s="16" t="str">
        <f>IF(B31="","", IFERROR(IF(OR(VLOOKUP(26, Data_Source!$A$2:$AZ$1000, 51, FALSE)="", VLOOKUP(26, Data_Source!$A$2:$AZ$1000, 51, FALSE)=0), "None", VLOOKUP(26, Data_Source!$A$2:$AZ$1000, 51, FALSE)), ""))</f>
        <v/>
      </c>
      <c r="E31" s="16" t="str">
        <f>IF(B31="","", IFERROR(IF(OR(VLOOKUP(26, Data_Source!$A$2:$AZ$1000, 49, FALSE)="", VLOOKUP(26, Data_Source!$A$2:$AZ$1000, 49, FALSE)=0), "None", VLOOKUP(26, Data_Source!$A$2:$AZ$1000, 49, FALSE)), ""))</f>
        <v/>
      </c>
    </row>
    <row r="32" spans="2:5" ht="40" customHeight="1" x14ac:dyDescent="0.35">
      <c r="B32" s="16" t="str">
        <f>IF(ISERROR(MATCH(27, Data_Source!$A$2:$A$1000, 0)), "", IFERROR(VLOOKUP(27, Data_Source!$A$2:$AZ$1000, 3, FALSE) &amp; "", ""))</f>
        <v/>
      </c>
      <c r="C32" s="16" t="str">
        <f>IF(B32="","", IFERROR(IF(OR(VLOOKUP(27, Data_Source!$A$2:$AZ$1000, 50, FALSE)="", VLOOKUP(27, Data_Source!$A$2:$AZ$1000, 50, FALSE)=0), "None", VLOOKUP(27, Data_Source!$A$2:$AZ$1000, 50, FALSE)), ""))</f>
        <v/>
      </c>
      <c r="D32" s="16" t="str">
        <f>IF(B32="","", IFERROR(IF(OR(VLOOKUP(27, Data_Source!$A$2:$AZ$1000, 51, FALSE)="", VLOOKUP(27, Data_Source!$A$2:$AZ$1000, 51, FALSE)=0), "None", VLOOKUP(27, Data_Source!$A$2:$AZ$1000, 51, FALSE)), ""))</f>
        <v/>
      </c>
      <c r="E32" s="16" t="str">
        <f>IF(B32="","", IFERROR(IF(OR(VLOOKUP(27, Data_Source!$A$2:$AZ$1000, 49, FALSE)="", VLOOKUP(27, Data_Source!$A$2:$AZ$1000, 49, FALSE)=0), "None", VLOOKUP(27, Data_Source!$A$2:$AZ$1000, 49, FALSE)), ""))</f>
        <v/>
      </c>
    </row>
    <row r="33" spans="2:5" ht="40" customHeight="1" x14ac:dyDescent="0.35">
      <c r="B33" s="16" t="str">
        <f>IF(ISERROR(MATCH(28, Data_Source!$A$2:$A$1000, 0)), "", IFERROR(VLOOKUP(28, Data_Source!$A$2:$AZ$1000, 3, FALSE) &amp; "", ""))</f>
        <v/>
      </c>
      <c r="C33" s="16" t="str">
        <f>IF(B33="","", IFERROR(IF(OR(VLOOKUP(28, Data_Source!$A$2:$AZ$1000, 50, FALSE)="", VLOOKUP(28, Data_Source!$A$2:$AZ$1000, 50, FALSE)=0), "None", VLOOKUP(28, Data_Source!$A$2:$AZ$1000, 50, FALSE)), ""))</f>
        <v/>
      </c>
      <c r="D33" s="16" t="str">
        <f>IF(B33="","", IFERROR(IF(OR(VLOOKUP(28, Data_Source!$A$2:$AZ$1000, 51, FALSE)="", VLOOKUP(28, Data_Source!$A$2:$AZ$1000, 51, FALSE)=0), "None", VLOOKUP(28, Data_Source!$A$2:$AZ$1000, 51, FALSE)), ""))</f>
        <v/>
      </c>
      <c r="E33" s="16" t="str">
        <f>IF(B33="","", IFERROR(IF(OR(VLOOKUP(28, Data_Source!$A$2:$AZ$1000, 49, FALSE)="", VLOOKUP(28, Data_Source!$A$2:$AZ$1000, 49, FALSE)=0), "None", VLOOKUP(28, Data_Source!$A$2:$AZ$1000, 49, FALSE)), ""))</f>
        <v/>
      </c>
    </row>
    <row r="34" spans="2:5" ht="40" customHeight="1" x14ac:dyDescent="0.35">
      <c r="B34" s="16" t="str">
        <f>IF(ISERROR(MATCH(29, Data_Source!$A$2:$A$1000, 0)), "", IFERROR(VLOOKUP(29, Data_Source!$A$2:$AZ$1000, 3, FALSE) &amp; "", ""))</f>
        <v/>
      </c>
      <c r="C34" s="16" t="str">
        <f>IF(B34="","", IFERROR(IF(OR(VLOOKUP(29, Data_Source!$A$2:$AZ$1000, 50, FALSE)="", VLOOKUP(29, Data_Source!$A$2:$AZ$1000, 50, FALSE)=0), "None", VLOOKUP(29, Data_Source!$A$2:$AZ$1000, 50, FALSE)), ""))</f>
        <v/>
      </c>
      <c r="D34" s="16" t="str">
        <f>IF(B34="","", IFERROR(IF(OR(VLOOKUP(29, Data_Source!$A$2:$AZ$1000, 51, FALSE)="", VLOOKUP(29, Data_Source!$A$2:$AZ$1000, 51, FALSE)=0), "None", VLOOKUP(29, Data_Source!$A$2:$AZ$1000, 51, FALSE)), ""))</f>
        <v/>
      </c>
      <c r="E34" s="16" t="str">
        <f>IF(B34="","", IFERROR(IF(OR(VLOOKUP(29, Data_Source!$A$2:$AZ$1000, 49, FALSE)="", VLOOKUP(29, Data_Source!$A$2:$AZ$1000, 49, FALSE)=0), "None", VLOOKUP(29, Data_Source!$A$2:$AZ$1000, 49, FALSE)), ""))</f>
        <v/>
      </c>
    </row>
    <row r="35" spans="2:5" ht="40" customHeight="1" x14ac:dyDescent="0.35">
      <c r="B35" s="16" t="str">
        <f>IF(ISERROR(MATCH(30, Data_Source!$A$2:$A$1000, 0)), "", IFERROR(VLOOKUP(30, Data_Source!$A$2:$AZ$1000, 3, FALSE) &amp; "", ""))</f>
        <v/>
      </c>
      <c r="C35" s="16" t="str">
        <f>IF(B35="","", IFERROR(IF(OR(VLOOKUP(30, Data_Source!$A$2:$AZ$1000, 50, FALSE)="", VLOOKUP(30, Data_Source!$A$2:$AZ$1000, 50, FALSE)=0), "None", VLOOKUP(30, Data_Source!$A$2:$AZ$1000, 50, FALSE)), ""))</f>
        <v/>
      </c>
      <c r="D35" s="16" t="str">
        <f>IF(B35="","", IFERROR(IF(OR(VLOOKUP(30, Data_Source!$A$2:$AZ$1000, 51, FALSE)="", VLOOKUP(30, Data_Source!$A$2:$AZ$1000, 51, FALSE)=0), "None", VLOOKUP(30, Data_Source!$A$2:$AZ$1000, 51, FALSE)), ""))</f>
        <v/>
      </c>
      <c r="E35" s="16" t="str">
        <f>IF(B35="","", IFERROR(IF(OR(VLOOKUP(30, Data_Source!$A$2:$AZ$1000, 49, FALSE)="", VLOOKUP(30, Data_Source!$A$2:$AZ$1000, 49, FALSE)=0), "None", VLOOKUP(30, Data_Source!$A$2:$AZ$1000, 49, FALSE)), ""))</f>
        <v/>
      </c>
    </row>
    <row r="36" spans="2:5" ht="40" customHeight="1" x14ac:dyDescent="0.35">
      <c r="B36" s="16" t="str">
        <f>IF(ISERROR(MATCH(31, Data_Source!$A$2:$A$1000, 0)), "", IFERROR(VLOOKUP(31, Data_Source!$A$2:$AZ$1000, 3, FALSE) &amp; "", ""))</f>
        <v/>
      </c>
      <c r="C36" s="16" t="str">
        <f>IF(B36="","", IFERROR(IF(OR(VLOOKUP(31, Data_Source!$A$2:$AZ$1000, 50, FALSE)="", VLOOKUP(31, Data_Source!$A$2:$AZ$1000, 50, FALSE)=0), "None", VLOOKUP(31, Data_Source!$A$2:$AZ$1000, 50, FALSE)), ""))</f>
        <v/>
      </c>
      <c r="D36" s="16" t="str">
        <f>IF(B36="","", IFERROR(IF(OR(VLOOKUP(31, Data_Source!$A$2:$AZ$1000, 51, FALSE)="", VLOOKUP(31, Data_Source!$A$2:$AZ$1000, 51, FALSE)=0), "None", VLOOKUP(31, Data_Source!$A$2:$AZ$1000, 51, FALSE)), ""))</f>
        <v/>
      </c>
      <c r="E36" s="16" t="str">
        <f>IF(B36="","", IFERROR(IF(OR(VLOOKUP(31, Data_Source!$A$2:$AZ$1000, 49, FALSE)="", VLOOKUP(31, Data_Source!$A$2:$AZ$1000, 49, FALSE)=0), "None", VLOOKUP(31, Data_Source!$A$2:$AZ$1000, 49, FALSE)), ""))</f>
        <v/>
      </c>
    </row>
    <row r="37" spans="2:5" ht="40" customHeight="1" x14ac:dyDescent="0.35">
      <c r="B37" s="16" t="str">
        <f>IF(ISERROR(MATCH(32, Data_Source!$A$2:$A$1000, 0)), "", IFERROR(VLOOKUP(32, Data_Source!$A$2:$AZ$1000, 3, FALSE) &amp; "", ""))</f>
        <v/>
      </c>
      <c r="C37" s="16" t="str">
        <f>IF(B37="","", IFERROR(IF(OR(VLOOKUP(32, Data_Source!$A$2:$AZ$1000, 50, FALSE)="", VLOOKUP(32, Data_Source!$A$2:$AZ$1000, 50, FALSE)=0), "None", VLOOKUP(32, Data_Source!$A$2:$AZ$1000, 50, FALSE)), ""))</f>
        <v/>
      </c>
      <c r="D37" s="16" t="str">
        <f>IF(B37="","", IFERROR(IF(OR(VLOOKUP(32, Data_Source!$A$2:$AZ$1000, 51, FALSE)="", VLOOKUP(32, Data_Source!$A$2:$AZ$1000, 51, FALSE)=0), "None", VLOOKUP(32, Data_Source!$A$2:$AZ$1000, 51, FALSE)), ""))</f>
        <v/>
      </c>
      <c r="E37" s="16" t="str">
        <f>IF(B37="","", IFERROR(IF(OR(VLOOKUP(32, Data_Source!$A$2:$AZ$1000, 49, FALSE)="", VLOOKUP(32, Data_Source!$A$2:$AZ$1000, 49, FALSE)=0), "None", VLOOKUP(32, Data_Source!$A$2:$AZ$1000, 49, FALSE)), ""))</f>
        <v/>
      </c>
    </row>
    <row r="38" spans="2:5" ht="40" customHeight="1" x14ac:dyDescent="0.35">
      <c r="B38" s="16" t="str">
        <f>IF(ISERROR(MATCH(33, Data_Source!$A$2:$A$1000, 0)), "", IFERROR(VLOOKUP(33, Data_Source!$A$2:$AZ$1000, 3, FALSE) &amp; "", ""))</f>
        <v/>
      </c>
      <c r="C38" s="16" t="str">
        <f>IF(B38="","", IFERROR(IF(OR(VLOOKUP(33, Data_Source!$A$2:$AZ$1000, 50, FALSE)="", VLOOKUP(33, Data_Source!$A$2:$AZ$1000, 50, FALSE)=0), "None", VLOOKUP(33, Data_Source!$A$2:$AZ$1000, 50, FALSE)), ""))</f>
        <v/>
      </c>
      <c r="D38" s="16" t="str">
        <f>IF(B38="","", IFERROR(IF(OR(VLOOKUP(33, Data_Source!$A$2:$AZ$1000, 51, FALSE)="", VLOOKUP(33, Data_Source!$A$2:$AZ$1000, 51, FALSE)=0), "None", VLOOKUP(33, Data_Source!$A$2:$AZ$1000, 51, FALSE)), ""))</f>
        <v/>
      </c>
      <c r="E38" s="16" t="str">
        <f>IF(B38="","", IFERROR(IF(OR(VLOOKUP(33, Data_Source!$A$2:$AZ$1000, 49, FALSE)="", VLOOKUP(33, Data_Source!$A$2:$AZ$1000, 49, FALSE)=0), "None", VLOOKUP(33, Data_Source!$A$2:$AZ$1000, 49, FALSE)), ""))</f>
        <v/>
      </c>
    </row>
    <row r="39" spans="2:5" ht="40" customHeight="1" x14ac:dyDescent="0.35">
      <c r="B39" s="16" t="str">
        <f>IF(ISERROR(MATCH(34, Data_Source!$A$2:$A$1000, 0)), "", IFERROR(VLOOKUP(34, Data_Source!$A$2:$AZ$1000, 3, FALSE) &amp; "", ""))</f>
        <v/>
      </c>
      <c r="C39" s="16" t="str">
        <f>IF(B39="","", IFERROR(IF(OR(VLOOKUP(34, Data_Source!$A$2:$AZ$1000, 50, FALSE)="", VLOOKUP(34, Data_Source!$A$2:$AZ$1000, 50, FALSE)=0), "None", VLOOKUP(34, Data_Source!$A$2:$AZ$1000, 50, FALSE)), ""))</f>
        <v/>
      </c>
      <c r="D39" s="16" t="str">
        <f>IF(B39="","", IFERROR(IF(OR(VLOOKUP(34, Data_Source!$A$2:$AZ$1000, 51, FALSE)="", VLOOKUP(34, Data_Source!$A$2:$AZ$1000, 51, FALSE)=0), "None", VLOOKUP(34, Data_Source!$A$2:$AZ$1000, 51, FALSE)), ""))</f>
        <v/>
      </c>
      <c r="E39" s="16" t="str">
        <f>IF(B39="","", IFERROR(IF(OR(VLOOKUP(34, Data_Source!$A$2:$AZ$1000, 49, FALSE)="", VLOOKUP(34, Data_Source!$A$2:$AZ$1000, 49, FALSE)=0), "None", VLOOKUP(34, Data_Source!$A$2:$AZ$1000, 49, FALSE)), ""))</f>
        <v/>
      </c>
    </row>
    <row r="40" spans="2:5" ht="40" customHeight="1" x14ac:dyDescent="0.35">
      <c r="B40" s="16" t="str">
        <f>IF(ISERROR(MATCH(35, Data_Source!$A$2:$A$1000, 0)), "", IFERROR(VLOOKUP(35, Data_Source!$A$2:$AZ$1000, 3, FALSE) &amp; "", ""))</f>
        <v/>
      </c>
      <c r="C40" s="16" t="str">
        <f>IF(B40="","", IFERROR(IF(OR(VLOOKUP(35, Data_Source!$A$2:$AZ$1000, 50, FALSE)="", VLOOKUP(35, Data_Source!$A$2:$AZ$1000, 50, FALSE)=0), "None", VLOOKUP(35, Data_Source!$A$2:$AZ$1000, 50, FALSE)), ""))</f>
        <v/>
      </c>
      <c r="D40" s="16" t="str">
        <f>IF(B40="","", IFERROR(IF(OR(VLOOKUP(35, Data_Source!$A$2:$AZ$1000, 51, FALSE)="", VLOOKUP(35, Data_Source!$A$2:$AZ$1000, 51, FALSE)=0), "None", VLOOKUP(35, Data_Source!$A$2:$AZ$1000, 51, FALSE)), ""))</f>
        <v/>
      </c>
      <c r="E40" s="16" t="str">
        <f>IF(B40="","", IFERROR(IF(OR(VLOOKUP(35, Data_Source!$A$2:$AZ$1000, 49, FALSE)="", VLOOKUP(35, Data_Source!$A$2:$AZ$1000, 49, FALSE)=0), "None", VLOOKUP(35, Data_Source!$A$2:$AZ$1000, 49, FALSE)), ""))</f>
        <v/>
      </c>
    </row>
  </sheetData>
  <conditionalFormatting sqref="B6:E6">
    <cfRule type="expression" dxfId="34" priority="1">
      <formula>$B$6&lt;&gt;""</formula>
    </cfRule>
  </conditionalFormatting>
  <conditionalFormatting sqref="B7:E7">
    <cfRule type="expression" dxfId="33" priority="2">
      <formula>$B$7&lt;&gt;""</formula>
    </cfRule>
  </conditionalFormatting>
  <conditionalFormatting sqref="B8:E8">
    <cfRule type="expression" dxfId="32" priority="3">
      <formula>$B$8&lt;&gt;""</formula>
    </cfRule>
  </conditionalFormatting>
  <conditionalFormatting sqref="B9:E9">
    <cfRule type="expression" dxfId="31" priority="4">
      <formula>$B$9&lt;&gt;""</formula>
    </cfRule>
  </conditionalFormatting>
  <conditionalFormatting sqref="B10:E10">
    <cfRule type="expression" dxfId="30" priority="5">
      <formula>$B$10&lt;&gt;""</formula>
    </cfRule>
  </conditionalFormatting>
  <conditionalFormatting sqref="B11:E11">
    <cfRule type="expression" dxfId="29" priority="6">
      <formula>$B$11&lt;&gt;""</formula>
    </cfRule>
  </conditionalFormatting>
  <conditionalFormatting sqref="B12:E12">
    <cfRule type="expression" dxfId="28" priority="7">
      <formula>$B$12&lt;&gt;""</formula>
    </cfRule>
  </conditionalFormatting>
  <conditionalFormatting sqref="B13:E13">
    <cfRule type="expression" dxfId="27" priority="8">
      <formula>$B$13&lt;&gt;""</formula>
    </cfRule>
  </conditionalFormatting>
  <conditionalFormatting sqref="B14:E14">
    <cfRule type="expression" dxfId="26" priority="9">
      <formula>$B$14&lt;&gt;""</formula>
    </cfRule>
  </conditionalFormatting>
  <conditionalFormatting sqref="B15:E15">
    <cfRule type="expression" dxfId="25" priority="10">
      <formula>$B$15&lt;&gt;""</formula>
    </cfRule>
  </conditionalFormatting>
  <conditionalFormatting sqref="B16:E16">
    <cfRule type="expression" dxfId="24" priority="11">
      <formula>$B$16&lt;&gt;""</formula>
    </cfRule>
  </conditionalFormatting>
  <conditionalFormatting sqref="B17:E17">
    <cfRule type="expression" dxfId="23" priority="12">
      <formula>$B$17&lt;&gt;""</formula>
    </cfRule>
  </conditionalFormatting>
  <conditionalFormatting sqref="B18:E18">
    <cfRule type="expression" dxfId="22" priority="13">
      <formula>$B$18&lt;&gt;""</formula>
    </cfRule>
  </conditionalFormatting>
  <conditionalFormatting sqref="B19:E19">
    <cfRule type="expression" dxfId="21" priority="14">
      <formula>$B$19&lt;&gt;""</formula>
    </cfRule>
  </conditionalFormatting>
  <conditionalFormatting sqref="B20:E20">
    <cfRule type="expression" dxfId="20" priority="15">
      <formula>$B$20&lt;&gt;""</formula>
    </cfRule>
  </conditionalFormatting>
  <conditionalFormatting sqref="B21:E21">
    <cfRule type="expression" dxfId="19" priority="16">
      <formula>$B$21&lt;&gt;""</formula>
    </cfRule>
  </conditionalFormatting>
  <conditionalFormatting sqref="B22:E22">
    <cfRule type="expression" dxfId="18" priority="17">
      <formula>$B$22&lt;&gt;""</formula>
    </cfRule>
  </conditionalFormatting>
  <conditionalFormatting sqref="B23:E23">
    <cfRule type="expression" dxfId="17" priority="18">
      <formula>$B$23&lt;&gt;""</formula>
    </cfRule>
  </conditionalFormatting>
  <conditionalFormatting sqref="B24:E24">
    <cfRule type="expression" dxfId="16" priority="19">
      <formula>$B$24&lt;&gt;""</formula>
    </cfRule>
  </conditionalFormatting>
  <conditionalFormatting sqref="B25:E25">
    <cfRule type="expression" dxfId="15" priority="20">
      <formula>$B$25&lt;&gt;""</formula>
    </cfRule>
  </conditionalFormatting>
  <conditionalFormatting sqref="B26:E26">
    <cfRule type="expression" dxfId="14" priority="21">
      <formula>$B$26&lt;&gt;""</formula>
    </cfRule>
  </conditionalFormatting>
  <conditionalFormatting sqref="B27:E27">
    <cfRule type="expression" dxfId="13" priority="22">
      <formula>$B$27&lt;&gt;""</formula>
    </cfRule>
  </conditionalFormatting>
  <conditionalFormatting sqref="B28:E28">
    <cfRule type="expression" dxfId="12" priority="23">
      <formula>$B$28&lt;&gt;""</formula>
    </cfRule>
  </conditionalFormatting>
  <conditionalFormatting sqref="B29:E29">
    <cfRule type="expression" dxfId="11" priority="24">
      <formula>$B$29&lt;&gt;""</formula>
    </cfRule>
  </conditionalFormatting>
  <conditionalFormatting sqref="B30:E30">
    <cfRule type="expression" dxfId="10" priority="25">
      <formula>$B$30&lt;&gt;""</formula>
    </cfRule>
  </conditionalFormatting>
  <conditionalFormatting sqref="B31:E31">
    <cfRule type="expression" dxfId="9" priority="26">
      <formula>$B$31&lt;&gt;""</formula>
    </cfRule>
  </conditionalFormatting>
  <conditionalFormatting sqref="B32:E32">
    <cfRule type="expression" dxfId="8" priority="27">
      <formula>$B$32&lt;&gt;""</formula>
    </cfRule>
  </conditionalFormatting>
  <conditionalFormatting sqref="B33:E33">
    <cfRule type="expression" dxfId="7" priority="28">
      <formula>$B$33&lt;&gt;""</formula>
    </cfRule>
  </conditionalFormatting>
  <conditionalFormatting sqref="B34:E34">
    <cfRule type="expression" dxfId="6" priority="29">
      <formula>$B$34&lt;&gt;""</formula>
    </cfRule>
  </conditionalFormatting>
  <conditionalFormatting sqref="B35:E35">
    <cfRule type="expression" dxfId="5" priority="30">
      <formula>$B$35&lt;&gt;""</formula>
    </cfRule>
  </conditionalFormatting>
  <conditionalFormatting sqref="B36:E36">
    <cfRule type="expression" dxfId="4" priority="31">
      <formula>$B$36&lt;&gt;""</formula>
    </cfRule>
  </conditionalFormatting>
  <conditionalFormatting sqref="B37:E37">
    <cfRule type="expression" dxfId="3" priority="32">
      <formula>$B$37&lt;&gt;""</formula>
    </cfRule>
  </conditionalFormatting>
  <conditionalFormatting sqref="B38:E38">
    <cfRule type="expression" dxfId="2" priority="33">
      <formula>$B$38&lt;&gt;""</formula>
    </cfRule>
  </conditionalFormatting>
  <conditionalFormatting sqref="B39:E39">
    <cfRule type="expression" dxfId="1" priority="34">
      <formula>$B$39&lt;&gt;""</formula>
    </cfRule>
  </conditionalFormatting>
  <conditionalFormatting sqref="B40:E40">
    <cfRule type="expression" dxfId="0" priority="35">
      <formula>$B$40&lt;&gt;""</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Data_Source</vt:lpstr>
      <vt:lpstr>Bộ lọc Cựu SV</vt:lpstr>
      <vt:lpstr>Dashboard Cựu SV</vt:lpstr>
      <vt:lpstr>Thống kê PLO</vt:lpstr>
      <vt:lpstr>Góp ý Cựu SV</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Loi Cao</cp:lastModifiedBy>
  <dcterms:created xsi:type="dcterms:W3CDTF">2026-06-16T02:39:37Z</dcterms:created>
  <dcterms:modified xsi:type="dcterms:W3CDTF">2026-06-16T02:39:38Z</dcterms:modified>
</cp:coreProperties>
</file>